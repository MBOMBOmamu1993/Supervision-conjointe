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tabRatio="889"/>
  </bookViews>
  <sheets>
    <sheet name="Pop_ESS_Stratégie Vacc_Accéssib" sheetId="1" r:id="rId1"/>
    <sheet name="Parti_Com" sheetId="2" r:id="rId2"/>
    <sheet name="Chaine de froid " sheetId="3" r:id="rId3"/>
    <sheet name="Info générale sur les ZS" sheetId="4" r:id="rId4"/>
    <sheet name="Cartographie Interv_PTF" sheetId="5" r:id="rId5"/>
    <sheet name="Coordonnées des AT" sheetId="6" r:id="rId6"/>
    <sheet name="Population_Haut Risque" sheetId="7" r:id="rId7"/>
    <sheet name="STRATEGIES DE VACC" sheetId="8" r:id="rId8"/>
    <sheet name="Budget " sheetId="9" r:id="rId9"/>
    <sheet name="Tableaux Synthèse par ZS" sheetId="10" r:id="rId10"/>
    <sheet name="CV ajustée en 2025" sheetId="11" r:id="rId11"/>
    <sheet name="Sites de surveillance " sheetId="12" r:id="rId12"/>
  </sheets>
  <definedNames>
    <definedName name="_xlnm._FilterDatabase" localSheetId="0" hidden="1">'Pop_ESS_Stratégie Vacc_Accéssib'!$A$2:$AD$292</definedName>
    <definedName name="_xlnm._FilterDatabase" localSheetId="1" hidden="1">Parti_Com!$C$1:$C$295</definedName>
    <definedName name="_xlnm._FilterDatabase" localSheetId="7" hidden="1">'STRATEGIES DE VACC'!$A$2:$O$292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<sst xmlns="http://schemas.openxmlformats.org/spreadsheetml/2006/main" count="8557" uniqueCount="1284">
  <si>
    <t>ID AS</t>
  </si>
  <si>
    <t>Antenne</t>
  </si>
  <si>
    <t>Zone de Santé</t>
  </si>
  <si>
    <t>Nom AS</t>
  </si>
  <si>
    <t>Population totale SNIS</t>
  </si>
  <si>
    <t xml:space="preserve">Population totale Ajustée </t>
  </si>
  <si>
    <t>Cible 0 11 mois Microplan 2025</t>
  </si>
  <si>
    <t>Cible 0 11 mois DHIS2</t>
  </si>
  <si>
    <t>Cible 0 11 mois Ajusté</t>
  </si>
  <si>
    <t>Nbr ESS DHIS2</t>
  </si>
  <si>
    <t>Nbr ESS qui vaccinent DHIS2</t>
  </si>
  <si>
    <t xml:space="preserve">Stratégies Fixes planifiées Microplan  </t>
  </si>
  <si>
    <t xml:space="preserve">Stratégies Avancées  planifiées Microplan </t>
  </si>
  <si>
    <t xml:space="preserve">Stratégies Mobiles  planifiées Microplan </t>
  </si>
  <si>
    <t xml:space="preserve">Stratégies Spéciales planifiées Microplan </t>
  </si>
  <si>
    <t>Distance AS-BCZ (km)</t>
  </si>
  <si>
    <t>Distance Dernier Village (km)</t>
  </si>
  <si>
    <t>Voie accès</t>
  </si>
  <si>
    <t>Réseau (Oui/Non)</t>
  </si>
  <si>
    <t>Stratégies attendu selon l'ACZ</t>
  </si>
  <si>
    <t xml:space="preserve">Ecart Attendu ACZ et planifié microplan </t>
  </si>
  <si>
    <t>01</t>
  </si>
  <si>
    <t>Boende</t>
  </si>
  <si>
    <t xml:space="preserve">ZS Befale </t>
  </si>
  <si>
    <t>AS Baringa</t>
  </si>
  <si>
    <t>Route</t>
  </si>
  <si>
    <t>Non</t>
  </si>
  <si>
    <t>02</t>
  </si>
  <si>
    <t>AS Befale</t>
  </si>
  <si>
    <t>Oui</t>
  </si>
  <si>
    <t>03</t>
  </si>
  <si>
    <t>AS Bekiri</t>
  </si>
  <si>
    <t>04</t>
  </si>
  <si>
    <t>AS Bokoli</t>
  </si>
  <si>
    <t>05</t>
  </si>
  <si>
    <t>AS Bolafa</t>
  </si>
  <si>
    <t>—</t>
  </si>
  <si>
    <t>06</t>
  </si>
  <si>
    <t>AS Bolumbuloko</t>
  </si>
  <si>
    <t>07</t>
  </si>
  <si>
    <t>AS Boonia</t>
  </si>
  <si>
    <t>08</t>
  </si>
  <si>
    <t>AS Djefera</t>
  </si>
  <si>
    <t>09</t>
  </si>
  <si>
    <t>AS Eandja</t>
  </si>
  <si>
    <t>10</t>
  </si>
  <si>
    <t>AS Ekafera</t>
  </si>
  <si>
    <t>11</t>
  </si>
  <si>
    <t>AS Engunda</t>
  </si>
  <si>
    <t>12</t>
  </si>
  <si>
    <t>AS Ikombe</t>
  </si>
  <si>
    <t>13</t>
  </si>
  <si>
    <t>AS Lifindo</t>
  </si>
  <si>
    <t>14</t>
  </si>
  <si>
    <t>AS Lifumba</t>
  </si>
  <si>
    <t>15</t>
  </si>
  <si>
    <t>AS Likako</t>
  </si>
  <si>
    <t>16</t>
  </si>
  <si>
    <t>AS Lingunda</t>
  </si>
  <si>
    <t>17</t>
  </si>
  <si>
    <t>AS Lisoko</t>
  </si>
  <si>
    <t>18</t>
  </si>
  <si>
    <t>AS Lofuko</t>
  </si>
  <si>
    <t>19</t>
  </si>
  <si>
    <t>AS Lofukya</t>
  </si>
  <si>
    <t>20</t>
  </si>
  <si>
    <t>AS Lolengi</t>
  </si>
  <si>
    <t>21</t>
  </si>
  <si>
    <t>AS Lomako</t>
  </si>
  <si>
    <t>22</t>
  </si>
  <si>
    <t>AS Mange</t>
  </si>
  <si>
    <t xml:space="preserve">ZS Boende </t>
  </si>
  <si>
    <t>AS Batanga</t>
  </si>
  <si>
    <t>AS Bekili</t>
  </si>
  <si>
    <t>AS Boende 2 Kimbangu</t>
  </si>
  <si>
    <t>AS Boende 2 Nsele</t>
  </si>
  <si>
    <t>AS Boende Moke</t>
  </si>
  <si>
    <t>AS Bokongo</t>
  </si>
  <si>
    <t>AS Bokoto</t>
  </si>
  <si>
    <t>AS Bolemba</t>
  </si>
  <si>
    <t>AS Bongoy</t>
  </si>
  <si>
    <t>AS CDCC</t>
  </si>
  <si>
    <t>AS Eandja Iyondje</t>
  </si>
  <si>
    <t>AS Eandja Nsamba</t>
  </si>
  <si>
    <t>AS Efoku</t>
  </si>
  <si>
    <t>AS Ekombe</t>
  </si>
  <si>
    <t>AS Ekonda</t>
  </si>
  <si>
    <t>AS Ikonge</t>
  </si>
  <si>
    <t>AS Ilombe</t>
  </si>
  <si>
    <t>AS Ilombe Bokele</t>
  </si>
  <si>
    <t>AS Ilongokindo</t>
  </si>
  <si>
    <t>AS Imbo</t>
  </si>
  <si>
    <t>AS Iyaliboonde</t>
  </si>
  <si>
    <t>AS Iyele</t>
  </si>
  <si>
    <t>AS Lifoku</t>
  </si>
  <si>
    <t>AS Lisafu</t>
  </si>
  <si>
    <t>AS Lofondo</t>
  </si>
  <si>
    <t>AS Lokali</t>
  </si>
  <si>
    <t>AS Lokolia</t>
  </si>
  <si>
    <t>AS Lokula</t>
  </si>
  <si>
    <t>AS Marie Louise</t>
  </si>
  <si>
    <t>AS Mondombe Ngele</t>
  </si>
  <si>
    <t>AS Motema Mosantu</t>
  </si>
  <si>
    <t>AS Ndjafa</t>
  </si>
  <si>
    <t>AS Nsonge</t>
  </si>
  <si>
    <t>AS Watsi</t>
  </si>
  <si>
    <t>AS WatsIkengo</t>
  </si>
  <si>
    <t>AS Yaa</t>
  </si>
  <si>
    <t>AS Yenge</t>
  </si>
  <si>
    <t>Bonkungu</t>
  </si>
  <si>
    <t xml:space="preserve">AS Bokungu </t>
  </si>
  <si>
    <t>AS Basekaokoli</t>
  </si>
  <si>
    <t>AS Bokaindembe</t>
  </si>
  <si>
    <t>AS Bokau</t>
  </si>
  <si>
    <t>AS Bokoka</t>
  </si>
  <si>
    <t>Fleuve</t>
  </si>
  <si>
    <t>AS Bokolo</t>
  </si>
  <si>
    <t>AS Bokolongo</t>
  </si>
  <si>
    <t>AS Bompongo</t>
  </si>
  <si>
    <t>AS Bonkone</t>
  </si>
  <si>
    <t>AS Bulukutu</t>
  </si>
  <si>
    <t>AS Ekofo</t>
  </si>
  <si>
    <t>AS Elongo</t>
  </si>
  <si>
    <t>AS Ikengolaka 2</t>
  </si>
  <si>
    <t>AS Lendisa</t>
  </si>
  <si>
    <t>AS Liangola</t>
  </si>
  <si>
    <t>AS Liunga</t>
  </si>
  <si>
    <t>AS Lofima 2</t>
  </si>
  <si>
    <t>AS Lofoy</t>
  </si>
  <si>
    <t>AS Lolingo</t>
  </si>
  <si>
    <t>AS Lomama</t>
  </si>
  <si>
    <t>AS Lotakamela</t>
  </si>
  <si>
    <t>AS Marie Reine d'afrique</t>
  </si>
  <si>
    <t>AS Yakili</t>
  </si>
  <si>
    <t>AS Yemo</t>
  </si>
  <si>
    <t>AS Yokamba</t>
  </si>
  <si>
    <t>AS Yosasa</t>
  </si>
  <si>
    <t>Bokungu</t>
  </si>
  <si>
    <t xml:space="preserve">ZS Busanga </t>
  </si>
  <si>
    <t>AS Bendjali</t>
  </si>
  <si>
    <t> 5</t>
  </si>
  <si>
    <t> 3</t>
  </si>
  <si>
    <t> 0</t>
  </si>
  <si>
    <t>AS Bokela</t>
  </si>
  <si>
    <t>AS Busanga</t>
  </si>
  <si>
    <t> 7</t>
  </si>
  <si>
    <t>AS Efekele</t>
  </si>
  <si>
    <t>AS Efomi</t>
  </si>
  <si>
    <t> 4</t>
  </si>
  <si>
    <t>AS Elinga</t>
  </si>
  <si>
    <t>AS Entongoto</t>
  </si>
  <si>
    <t>AS Esongo</t>
  </si>
  <si>
    <t>AS Isama</t>
  </si>
  <si>
    <t> 6</t>
  </si>
  <si>
    <t>AS Itoko</t>
  </si>
  <si>
    <t>AS Likuku</t>
  </si>
  <si>
    <t>AS Lokata</t>
  </si>
  <si>
    <t>AS Lokoma</t>
  </si>
  <si>
    <t>AS Mpombi</t>
  </si>
  <si>
    <t> 8</t>
  </si>
  <si>
    <t>AS Ndotsi</t>
  </si>
  <si>
    <t>AS Nkembe</t>
  </si>
  <si>
    <t>AS Moma</t>
  </si>
  <si>
    <t xml:space="preserve">ZS Djolu </t>
  </si>
  <si>
    <t>AS Befori</t>
  </si>
  <si>
    <t>Route et Fleuve</t>
  </si>
  <si>
    <t>AS Bofola</t>
  </si>
  <si>
    <t>AS Bolamba</t>
  </si>
  <si>
    <t>AS Bolombo</t>
  </si>
  <si>
    <t>AS Bongila</t>
  </si>
  <si>
    <t>0.5</t>
  </si>
  <si>
    <t>AS Bosenga Lombongo</t>
  </si>
  <si>
    <t>AS Djolu Moke</t>
  </si>
  <si>
    <t>AS Iyambo</t>
  </si>
  <si>
    <t>AS Iyenga</t>
  </si>
  <si>
    <t>AS Liindja</t>
  </si>
  <si>
    <t>AS Lokombo</t>
  </si>
  <si>
    <t>AS Mputshuanga</t>
  </si>
  <si>
    <t>AS Nkole Bokumbo</t>
  </si>
  <si>
    <t>AS Nsema Biamba</t>
  </si>
  <si>
    <t>AS Wamba</t>
  </si>
  <si>
    <t>AS Yakate</t>
  </si>
  <si>
    <t>AS Yakili 2</t>
  </si>
  <si>
    <t>AS Yalikala</t>
  </si>
  <si>
    <t>AS Yalisele</t>
  </si>
  <si>
    <t>AS Yalongonda</t>
  </si>
  <si>
    <t>AS Yangonde</t>
  </si>
  <si>
    <t>AS Yansao</t>
  </si>
  <si>
    <t>AS Yanyangombula</t>
  </si>
  <si>
    <t>AS Yaseko</t>
  </si>
  <si>
    <t>AS Yofili</t>
  </si>
  <si>
    <t>AS Yokwa</t>
  </si>
  <si>
    <t>AS Yoote</t>
  </si>
  <si>
    <t>AS Yoseki</t>
  </si>
  <si>
    <t xml:space="preserve">ZS Ikela </t>
  </si>
  <si>
    <t>AS Anzi</t>
  </si>
  <si>
    <t>2 </t>
  </si>
  <si>
    <t>0 </t>
  </si>
  <si>
    <t> 38</t>
  </si>
  <si>
    <t>AS Boboto</t>
  </si>
  <si>
    <t>4 </t>
  </si>
  <si>
    <t>AS Bokole</t>
  </si>
  <si>
    <t> 10</t>
  </si>
  <si>
    <t>AS Bomandja</t>
  </si>
  <si>
    <t> 49</t>
  </si>
  <si>
    <t>AS Bosango</t>
  </si>
  <si>
    <t> 75</t>
  </si>
  <si>
    <t>AS Boyombo</t>
  </si>
  <si>
    <t> 45</t>
  </si>
  <si>
    <t>AS Ekuku</t>
  </si>
  <si>
    <t> 222</t>
  </si>
  <si>
    <t>AS Ené</t>
  </si>
  <si>
    <t> 24</t>
  </si>
  <si>
    <t>AS Ikomaloki</t>
  </si>
  <si>
    <t> 82</t>
  </si>
  <si>
    <t>AS Lofusoloko</t>
  </si>
  <si>
    <t> 62</t>
  </si>
  <si>
    <t>AS Lokalo</t>
  </si>
  <si>
    <t>1 </t>
  </si>
  <si>
    <t> 176</t>
  </si>
  <si>
    <t>AS Lokona</t>
  </si>
  <si>
    <t> 52</t>
  </si>
  <si>
    <t>AS Mamba</t>
  </si>
  <si>
    <t> 30</t>
  </si>
  <si>
    <t>AS Mbelo Nord</t>
  </si>
  <si>
    <t> 98</t>
  </si>
  <si>
    <t>AS Monkoso</t>
  </si>
  <si>
    <t> 120</t>
  </si>
  <si>
    <t>AS Mpona</t>
  </si>
  <si>
    <t>AS Samanda</t>
  </si>
  <si>
    <t> 150</t>
  </si>
  <si>
    <t>AS Watsi 2</t>
  </si>
  <si>
    <t>AS Yaisese</t>
  </si>
  <si>
    <t>AS Yaloketo</t>
  </si>
  <si>
    <t>AS Yaloola</t>
  </si>
  <si>
    <t>AS Yaloya</t>
  </si>
  <si>
    <t>AS Yolombo</t>
  </si>
  <si>
    <t>AS Yolonga</t>
  </si>
  <si>
    <t>AS Yolonga3</t>
  </si>
  <si>
    <t>AS Yosai</t>
  </si>
  <si>
    <t>AS Yosenge</t>
  </si>
  <si>
    <t xml:space="preserve">ZS Lingomo </t>
  </si>
  <si>
    <t>AS Bosenge</t>
  </si>
  <si>
    <t>AS Ilili</t>
  </si>
  <si>
    <t>AS Iyanga</t>
  </si>
  <si>
    <t>AS Lifanga</t>
  </si>
  <si>
    <t>AS Lingomo Ca</t>
  </si>
  <si>
    <t>AS Lingomo Mc</t>
  </si>
  <si>
    <t>AS Lolingo 2</t>
  </si>
  <si>
    <t>AS Mpelenge</t>
  </si>
  <si>
    <t>AS Wanga</t>
  </si>
  <si>
    <t>AS Yakili 3</t>
  </si>
  <si>
    <t>AS Yalokoli</t>
  </si>
  <si>
    <t>AS Yamboyo</t>
  </si>
  <si>
    <t>AS Yambula</t>
  </si>
  <si>
    <t>AS Yangendji</t>
  </si>
  <si>
    <t>AS Yangolu</t>
  </si>
  <si>
    <t>AS Yasola</t>
  </si>
  <si>
    <t>AS Yofaka</t>
  </si>
  <si>
    <t>AS Yokembe</t>
  </si>
  <si>
    <t>AS Yombote</t>
  </si>
  <si>
    <t xml:space="preserve">ZS Mompono </t>
  </si>
  <si>
    <t>AS Bokutola</t>
  </si>
  <si>
    <t>AS Djombo</t>
  </si>
  <si>
    <t>AS Ekembela</t>
  </si>
  <si>
    <t>AS Ekukola Bolongo</t>
  </si>
  <si>
    <t>AS Esangani</t>
  </si>
  <si>
    <t>AS Ikela</t>
  </si>
  <si>
    <t>AS Ikelemba</t>
  </si>
  <si>
    <t>AS Ilolo</t>
  </si>
  <si>
    <t>AS Itema</t>
  </si>
  <si>
    <t>AS Iyali</t>
  </si>
  <si>
    <t>AS Lifanga 2</t>
  </si>
  <si>
    <t>AS Likundu Amba</t>
  </si>
  <si>
    <t>AS Lilanga</t>
  </si>
  <si>
    <t>AS Lileko</t>
  </si>
  <si>
    <t>AS Mompono</t>
  </si>
  <si>
    <t>AS Yakaa</t>
  </si>
  <si>
    <t>ZS  Mondombe</t>
  </si>
  <si>
    <t>AS Bikombi</t>
  </si>
  <si>
    <t>AS Bisoke</t>
  </si>
  <si>
    <t>AS Bomoi</t>
  </si>
  <si>
    <t>AS Cedimo</t>
  </si>
  <si>
    <t>AS Ekanga</t>
  </si>
  <si>
    <t>AS Lolanga</t>
  </si>
  <si>
    <t>AS Lomongo</t>
  </si>
  <si>
    <t>AS M Cmondombe</t>
  </si>
  <si>
    <t>AS Ngoseki</t>
  </si>
  <si>
    <t>AS Topoke</t>
  </si>
  <si>
    <t>AS Yalikungu</t>
  </si>
  <si>
    <t>AS Yalokuli</t>
  </si>
  <si>
    <t>AS Yalomboka</t>
  </si>
  <si>
    <t>AS Yalusaka</t>
  </si>
  <si>
    <t>AS Yambili</t>
  </si>
  <si>
    <t>AS Yanseka</t>
  </si>
  <si>
    <t>AS Yanyangombula 2</t>
  </si>
  <si>
    <t>AS Yelia Nkang'Itoko</t>
  </si>
  <si>
    <t>AS Yetsi</t>
  </si>
  <si>
    <t>AS Yokolo</t>
  </si>
  <si>
    <t>AS Yolonga 2</t>
  </si>
  <si>
    <t>AS Yongoli 2</t>
  </si>
  <si>
    <t xml:space="preserve">ZS Monkoto </t>
  </si>
  <si>
    <t>AS Bolenge</t>
  </si>
  <si>
    <t>AS Bololongo</t>
  </si>
  <si>
    <t>AS Bomate rive</t>
  </si>
  <si>
    <t>AS Bomatenkumu</t>
  </si>
  <si>
    <t>AS Bombimbi</t>
  </si>
  <si>
    <t>AS Bombwanza Indole</t>
  </si>
  <si>
    <t>AS Bongili</t>
  </si>
  <si>
    <t>AS Emengeye</t>
  </si>
  <si>
    <t>AS Etete 1</t>
  </si>
  <si>
    <t>AS Etete 2</t>
  </si>
  <si>
    <t>AS Imomampako</t>
  </si>
  <si>
    <t>AS Isaka</t>
  </si>
  <si>
    <t>AS Iyete</t>
  </si>
  <si>
    <t>AS Iyongo</t>
  </si>
  <si>
    <t>AS Loele</t>
  </si>
  <si>
    <t>AS Monkoto</t>
  </si>
  <si>
    <t>AS Mpenge</t>
  </si>
  <si>
    <t>AS Mpenge Kaboko</t>
  </si>
  <si>
    <t>AS Ndomba</t>
  </si>
  <si>
    <t>AS Nkole Lokoro</t>
  </si>
  <si>
    <t>AS Nonge Lokwa</t>
  </si>
  <si>
    <t>AS Nsambwa Nkoy</t>
  </si>
  <si>
    <t>AS Ntomba</t>
  </si>
  <si>
    <t>AS Wafanya</t>
  </si>
  <si>
    <t>AS Yongo</t>
  </si>
  <si>
    <t xml:space="preserve">ZS Wema </t>
  </si>
  <si>
    <t>AS Bekili 2</t>
  </si>
  <si>
    <t>AS Bekomi</t>
  </si>
  <si>
    <t>AS Boanga</t>
  </si>
  <si>
    <t> 2</t>
  </si>
  <si>
    <t>AS Bofoka</t>
  </si>
  <si>
    <t>AS Bokondji</t>
  </si>
  <si>
    <t>AS Bokutu</t>
  </si>
  <si>
    <t>AS Bolafa 2</t>
  </si>
  <si>
    <t> 1</t>
  </si>
  <si>
    <t>AS Bonsombo</t>
  </si>
  <si>
    <t>AS Bosilia</t>
  </si>
  <si>
    <t>AS Botoka</t>
  </si>
  <si>
    <t>AS Esangani 2</t>
  </si>
  <si>
    <t>AS Etata</t>
  </si>
  <si>
    <t>AS Ibangalakata</t>
  </si>
  <si>
    <t>AS Ilonge</t>
  </si>
  <si>
    <t>AS Likete</t>
  </si>
  <si>
    <t>AS Lolungu</t>
  </si>
  <si>
    <t>AS Malela</t>
  </si>
  <si>
    <t>AS Ngomb'Isongu</t>
  </si>
  <si>
    <t>AS Nkoto</t>
  </si>
  <si>
    <t>AS Wema</t>
  </si>
  <si>
    <t xml:space="preserve">ZS Yalifafu </t>
  </si>
  <si>
    <t>AS Bokota</t>
  </si>
  <si>
    <t>AS Bongemba</t>
  </si>
  <si>
    <t>AS Efekola</t>
  </si>
  <si>
    <t>AS Ekombe Nkone 2</t>
  </si>
  <si>
    <t>AS Elaka</t>
  </si>
  <si>
    <t>AS Isanga</t>
  </si>
  <si>
    <t>AS Lingomo</t>
  </si>
  <si>
    <t>AS Lotulo</t>
  </si>
  <si>
    <t>AS Momboyo</t>
  </si>
  <si>
    <t>AS Nonkoy</t>
  </si>
  <si>
    <t>AS Wamba 2</t>
  </si>
  <si>
    <t>AS Yalifafu</t>
  </si>
  <si>
    <t>AS Yalikomba</t>
  </si>
  <si>
    <t>AS Yalio</t>
  </si>
  <si>
    <t>AS Yalosambo</t>
  </si>
  <si>
    <t>AS Yalosoy</t>
  </si>
  <si>
    <t>AS Yangambo</t>
  </si>
  <si>
    <t>AS Yansau</t>
  </si>
  <si>
    <t>AS Yokelolu</t>
  </si>
  <si>
    <t>AS Yoloko</t>
  </si>
  <si>
    <t>AS Yongonda</t>
  </si>
  <si>
    <t>RECO actifs</t>
  </si>
  <si>
    <t>RECO formés</t>
  </si>
  <si>
    <t xml:space="preserve">CAC actifs </t>
  </si>
  <si>
    <t>Radios locales</t>
  </si>
  <si>
    <t>Nombre
 Eglises</t>
  </si>
  <si>
    <t xml:space="preserve">Actif </t>
  </si>
  <si>
    <t xml:space="preserve">peu actif </t>
  </si>
  <si>
    <t>Province</t>
  </si>
  <si>
    <t>ZS</t>
  </si>
  <si>
    <t>AS</t>
  </si>
  <si>
    <t>Latitude</t>
  </si>
  <si>
    <t>Longitude</t>
  </si>
  <si>
    <t>Type équipement</t>
  </si>
  <si>
    <t>Marque</t>
  </si>
  <si>
    <t>Model</t>
  </si>
  <si>
    <t>N0 Serie</t>
  </si>
  <si>
    <t>Colonne1</t>
  </si>
  <si>
    <t>Date de mise en service</t>
  </si>
  <si>
    <t>ETAT</t>
  </si>
  <si>
    <t>Source energie</t>
  </si>
  <si>
    <t>Nbr AS</t>
  </si>
  <si>
    <t xml:space="preserve">AS avec refrigérateur </t>
  </si>
  <si>
    <t xml:space="preserve">CV en chaine de froid </t>
  </si>
  <si>
    <t>Befale</t>
  </si>
  <si>
    <t xml:space="preserve">tu Tshuapa </t>
  </si>
  <si>
    <t>ZS Befale</t>
  </si>
  <si>
    <t>Réfrigérateur</t>
  </si>
  <si>
    <t>Dometic</t>
  </si>
  <si>
    <t>TCW40SDD</t>
  </si>
  <si>
    <t>GAVI/RSS2</t>
  </si>
  <si>
    <t>F</t>
  </si>
  <si>
    <t>Solaire</t>
  </si>
  <si>
    <t>GAVI/CCEOP1</t>
  </si>
  <si>
    <t xml:space="preserve">Busanga </t>
  </si>
  <si>
    <t>Djolu</t>
  </si>
  <si>
    <t>Ikale</t>
  </si>
  <si>
    <t>P</t>
  </si>
  <si>
    <t>Lingomo</t>
  </si>
  <si>
    <t>Mompono</t>
  </si>
  <si>
    <t>7483617</t>
  </si>
  <si>
    <t>Mondombe</t>
  </si>
  <si>
    <t>PDSS</t>
  </si>
  <si>
    <t>Monkoto</t>
  </si>
  <si>
    <t>GAVI/CCEOP2</t>
  </si>
  <si>
    <t>Wema</t>
  </si>
  <si>
    <t>Yalifufu</t>
  </si>
  <si>
    <t xml:space="preserve">Total </t>
  </si>
  <si>
    <t>8421960</t>
  </si>
  <si>
    <t>ZS Boende</t>
  </si>
  <si>
    <t>8392733</t>
  </si>
  <si>
    <t>8432128</t>
  </si>
  <si>
    <t>8432340</t>
  </si>
  <si>
    <t>7483524</t>
  </si>
  <si>
    <t>ZS Bokungu</t>
  </si>
  <si>
    <t>8412152</t>
  </si>
  <si>
    <t>TCW3000SDD</t>
  </si>
  <si>
    <t>ZS Busanga</t>
  </si>
  <si>
    <t>ZS Djolu</t>
  </si>
  <si>
    <t>7483469</t>
  </si>
  <si>
    <t>ZS Ikela</t>
  </si>
  <si>
    <t>7483618</t>
  </si>
  <si>
    <t>ZS Lingomo</t>
  </si>
  <si>
    <t>7472702</t>
  </si>
  <si>
    <t>ZS Mompono</t>
  </si>
  <si>
    <t>7472716</t>
  </si>
  <si>
    <t>ZS Mondombe</t>
  </si>
  <si>
    <t>ZS Monkoto</t>
  </si>
  <si>
    <t>ZS Wema</t>
  </si>
  <si>
    <t>ZS Yalifafu</t>
  </si>
  <si>
    <t>AS Ekombe Nkone</t>
  </si>
  <si>
    <t>8392541</t>
  </si>
  <si>
    <t xml:space="preserve">ZONE DE SANTE </t>
  </si>
  <si>
    <t>Nombre de villages</t>
  </si>
  <si>
    <t>Nombre des CAC</t>
  </si>
  <si>
    <t>Nombre des CAC fonctionnelles</t>
  </si>
  <si>
    <t>Nombre d’ilots</t>
  </si>
  <si>
    <t>Nombre  de Campements de pêcheurs</t>
  </si>
  <si>
    <t>Nombre  de Campements d’éleveurs</t>
  </si>
  <si>
    <t>Nombre  de Campements des Mineurs</t>
  </si>
  <si>
    <t>Nombre camps de déplaces</t>
  </si>
  <si>
    <t>Nombre de site d’accueil de refugiés</t>
  </si>
  <si>
    <t>Nombre de poches d’insécurité connues</t>
  </si>
  <si>
    <t>Nombre de marchés</t>
  </si>
  <si>
    <r>
      <rPr>
        <sz val="11"/>
        <color theme="1"/>
        <rFont val="Times New Roman"/>
        <charset val="134"/>
      </rPr>
      <t xml:space="preserve">Nombre de ports </t>
    </r>
    <r>
      <rPr>
        <sz val="11"/>
        <color theme="1"/>
        <rFont val="Times New Roman"/>
        <charset val="134"/>
      </rPr>
      <t xml:space="preserve">                 </t>
    </r>
  </si>
  <si>
    <r>
      <rPr>
        <sz val="11"/>
        <color theme="1"/>
        <rFont val="Times New Roman"/>
        <charset val="134"/>
      </rPr>
      <t xml:space="preserve">Nombre de gares </t>
    </r>
    <r>
      <rPr>
        <sz val="11"/>
        <color theme="1"/>
        <rFont val="Times New Roman"/>
        <charset val="134"/>
      </rPr>
      <t xml:space="preserve">                   </t>
    </r>
  </si>
  <si>
    <t>Nombre de carrefours</t>
  </si>
  <si>
    <t>Nombre d’Eglises, mosquées et autres lieux de culte (toute tendance confondue)</t>
  </si>
  <si>
    <t>Nombre d’écoles maternelles</t>
  </si>
  <si>
    <t>Nombre d’écoles primaires</t>
  </si>
  <si>
    <t>Nombre d’écoles secondaires</t>
  </si>
  <si>
    <t>Nombre de points d’accès au pays frontalier</t>
  </si>
  <si>
    <t>Nombre de groupes réfractaires identifiés (lesquels)</t>
  </si>
  <si>
    <t xml:space="preserve">BOKUNGU </t>
  </si>
  <si>
    <t>BUSANGA</t>
  </si>
  <si>
    <t>IKELE</t>
  </si>
  <si>
    <t>MONDOMBE</t>
  </si>
  <si>
    <t>YALIFAFU</t>
  </si>
  <si>
    <t xml:space="preserve">BEFALE </t>
  </si>
  <si>
    <t>BOENDE</t>
  </si>
  <si>
    <t>DJOLU</t>
  </si>
  <si>
    <t>KITAYALA</t>
  </si>
  <si>
    <t>LINGOMO</t>
  </si>
  <si>
    <t>/</t>
  </si>
  <si>
    <t>MONKOTO</t>
  </si>
  <si>
    <t>WEMA</t>
  </si>
  <si>
    <t>Zone de santé</t>
  </si>
  <si>
    <t>OMS</t>
  </si>
  <si>
    <t>GAVI</t>
  </si>
  <si>
    <t>UGPDSS</t>
  </si>
  <si>
    <t>UNICEF</t>
  </si>
  <si>
    <t>CDC ATLANTA</t>
  </si>
  <si>
    <t>CDC AFRICA</t>
  </si>
  <si>
    <t>FOND MONDIAL</t>
  </si>
  <si>
    <t>BANQUE MONDIALE</t>
  </si>
  <si>
    <t>PNMS</t>
  </si>
  <si>
    <t>FM (Fonds Mondial)</t>
  </si>
  <si>
    <t>SANRU</t>
  </si>
  <si>
    <t>CDI BWAMANDA</t>
  </si>
  <si>
    <t>CORDAID</t>
  </si>
  <si>
    <t>MALTESER INTERNATIONAL</t>
  </si>
  <si>
    <t>CROIX ROUGE</t>
  </si>
  <si>
    <t>BLE</t>
  </si>
  <si>
    <t>10-CDCC</t>
  </si>
  <si>
    <t>Vaccination de routine et AVS</t>
  </si>
  <si>
    <t>Suivie de PC TB et VIH, Paludisme</t>
  </si>
  <si>
    <t>Gratuité de la maternité</t>
  </si>
  <si>
    <t>communication</t>
  </si>
  <si>
    <t>Surveillance épidémiologique</t>
  </si>
  <si>
    <t>RAS</t>
  </si>
  <si>
    <t>Lutte contre le paludisme; TB-VIH</t>
  </si>
  <si>
    <t>Surveillance et vaccination</t>
  </si>
  <si>
    <t>vaccination</t>
  </si>
  <si>
    <t>Vaccination, communication, Nutrition</t>
  </si>
  <si>
    <t>Lutte des endémies</t>
  </si>
  <si>
    <t>Campagne de masse, frais encourus PFA</t>
  </si>
  <si>
    <t>Approvisionnement en vaccin, appui financier pour la campagne de masse</t>
  </si>
  <si>
    <t>Intrants, formations, nutritions, RPR, campagne de masse, communication</t>
  </si>
  <si>
    <t>Gouvernance et leadership du secteur, SURVEPI, et Infos San, prestation (utilisation et qualité) cfr SRMNEA</t>
  </si>
  <si>
    <t>Médicaments et autres intrants de lutte, frais de supervision, appui financier pour les activités de lutte</t>
  </si>
  <si>
    <t>Surveillance et la riposte aux épidémies</t>
  </si>
  <si>
    <t>Stratégie avancée et matériels de CDF</t>
  </si>
  <si>
    <t>Appuis aux activités de plaidoyer, communication et sensibilisation</t>
  </si>
  <si>
    <t>Prise en charge paludisme</t>
  </si>
  <si>
    <t>PARTIEL</t>
  </si>
  <si>
    <t>identification et récupération des EZD et ESV</t>
  </si>
  <si>
    <t>Communication lors des AVS</t>
  </si>
  <si>
    <t>Suivie de PC TB et VIH, Paludisme…..</t>
  </si>
  <si>
    <t>Busanga</t>
  </si>
  <si>
    <t>Surveillance épidémiologique/Vaccination</t>
  </si>
  <si>
    <t>Renforcement PEV de Routine</t>
  </si>
  <si>
    <t>Surveillance épidémiologique Mpox</t>
  </si>
  <si>
    <t>ACHAT stratégique des prestations dans le cadre du FBP</t>
  </si>
  <si>
    <t>Lutte contre le Paludisme, TB-VIH</t>
  </si>
  <si>
    <t>Surveillance épidémiologique et prise en charge Mpox</t>
  </si>
  <si>
    <t>Identification des zéro dose et les sous-vaccinés</t>
  </si>
  <si>
    <t>Ikela</t>
  </si>
  <si>
    <t>Surveillance / Approvisionnement irrégulier et en quantité insuffisante : Matériels/Intrants</t>
  </si>
  <si>
    <t>Vaccination / Approvisionnement irrégulier et en quantité insuffisante : Matériels/Intrants</t>
  </si>
  <si>
    <t>Surveillance M-POX / Approvisionnement irrégulier et en quantité insuffisante : Matériels/Intrants</t>
  </si>
  <si>
    <t>Lutte contre le paludisme ; TBC et VIH/SIDA / Approvisionnement irrégulier et en quantité insuffisante : Matériels/Intrants</t>
  </si>
  <si>
    <t>Appui global / Approvisionnement irrégulier et en quantité insuffisante : Matériels/Intrants</t>
  </si>
  <si>
    <t>Lutte contre le paludisme ; TB et VIH/SIDA / Approvisionnement irrégulier et en quantité insuffisante : Matériels/Intrants</t>
  </si>
  <si>
    <t>Surveillance épidémiologique et vaccination</t>
  </si>
  <si>
    <t>COMMUNICATION</t>
  </si>
  <si>
    <t>Equipements, matériels et Médicaments</t>
  </si>
  <si>
    <t>Yalifafu</t>
  </si>
  <si>
    <t>Vaccination de routine et récupération des EZD et SV</t>
  </si>
  <si>
    <t>Surveillance MPOX</t>
  </si>
  <si>
    <t>Agence</t>
  </si>
  <si>
    <t>Nom complet</t>
  </si>
  <si>
    <t>Genre</t>
  </si>
  <si>
    <t>Email</t>
  </si>
  <si>
    <t>Téléphone</t>
  </si>
  <si>
    <t>Province d’affectation</t>
  </si>
  <si>
    <t>Lieu d’affectation</t>
  </si>
  <si>
    <t>Responsabilité</t>
  </si>
  <si>
    <t>Statut</t>
  </si>
  <si>
    <t>Date début</t>
  </si>
  <si>
    <t>Date fin</t>
  </si>
  <si>
    <t>IQVIA</t>
  </si>
  <si>
    <t>Fama Ahuka Armand</t>
  </si>
  <si>
    <t>ahukafama1975@gmail.com</t>
  </si>
  <si>
    <t>Tshuapa</t>
  </si>
  <si>
    <t>Mbonda Ambunga Pamphile</t>
  </si>
  <si>
    <t>pamphilejlmbonda@gmail.com</t>
  </si>
  <si>
    <t>Motingea Siama Gedeon</t>
  </si>
  <si>
    <t>gedeonsiama@gmail.com</t>
  </si>
  <si>
    <t>Mushadi Kimpodjongo Gedeon</t>
  </si>
  <si>
    <t>gedeonmushadi0@gmail.com</t>
  </si>
  <si>
    <t>Nsampi Ntita André-Désiré</t>
  </si>
  <si>
    <t>nsampiandredesire@gmail.com</t>
  </si>
  <si>
    <t>Sanza Mpia Xavier</t>
  </si>
  <si>
    <t>xaviermpia5@gmail.com</t>
  </si>
  <si>
    <t>Tshibangu Tshamazaba Raphael</t>
  </si>
  <si>
    <t>rtshibangu89@gmail.com</t>
  </si>
  <si>
    <t>Mufabure Muderhwa Gedeon</t>
  </si>
  <si>
    <t>gedeon.mufabure@gmail.com</t>
  </si>
  <si>
    <t>AFENET Nat</t>
  </si>
  <si>
    <t>MUPADI BETUKUMESU Freddy</t>
  </si>
  <si>
    <t>Freddymupadi07@gmail.com</t>
  </si>
  <si>
    <t>(+243) 814711642/ (+243) 851623356</t>
  </si>
  <si>
    <t>Osinga Bonyoma Samuel</t>
  </si>
  <si>
    <t>drsamuelosinga@gmail.com</t>
  </si>
  <si>
    <t>(+243)816068849</t>
  </si>
  <si>
    <t>Lusamba Masudi Yannick</t>
  </si>
  <si>
    <t>yanlusamba1900@gmail.com</t>
  </si>
  <si>
    <t>(+243)894127897/(+243) 838307454</t>
  </si>
  <si>
    <t>AFENET Int</t>
  </si>
  <si>
    <t>MANZO MAHAMANE LAOUALI</t>
  </si>
  <si>
    <t>manzolic80@gmail.com</t>
  </si>
  <si>
    <t>(+243)822062882</t>
  </si>
  <si>
    <t>OMS/Mashako</t>
  </si>
  <si>
    <t>GABY Useni Lumangamanga</t>
  </si>
  <si>
    <t>gaboul2002@yahoo.fr</t>
  </si>
  <si>
    <t>(+243)811516225</t>
  </si>
  <si>
    <t>Serge Mupela</t>
  </si>
  <si>
    <t>sermupela@gmail.com</t>
  </si>
  <si>
    <t>(+243)818731047</t>
  </si>
  <si>
    <t>N°</t>
  </si>
  <si>
    <t>Population Frontalière avec un ou des pays</t>
  </si>
  <si>
    <t>Populations nomades</t>
  </si>
  <si>
    <t>Populations déplacées ou réfugiées</t>
  </si>
  <si>
    <t>Populations vivant dans des zones d’accès difficile</t>
  </si>
  <si>
    <t>Populations vivant dans les zones à cheval sur 2 aires de santé ou zones de sante</t>
  </si>
  <si>
    <t>Population vivant dans une zone de faible couverture vaccinale VAA de routine</t>
  </si>
  <si>
    <t>Population vivant dans une zone de faible couverture vaccinale VAR de routine</t>
  </si>
  <si>
    <t>Populations traditionnellement réticentes à la vaccination</t>
  </si>
  <si>
    <t>Description/ localisation</t>
  </si>
  <si>
    <t>Population totale
 (source de données)</t>
  </si>
  <si>
    <t>Estimation de la cible</t>
  </si>
  <si>
    <t>Mesures prises pour les atteindre</t>
  </si>
  <si>
    <t>BEFALE</t>
  </si>
  <si>
    <t>Campement riverain et forestier</t>
  </si>
  <si>
    <t>Vaccination par stratégie fluviale de routine</t>
  </si>
  <si>
    <t>Population entre les AS et aussi entre les ZS</t>
  </si>
  <si>
    <t>Vaccination par RDV</t>
  </si>
  <si>
    <t>Dans les campements riverains et forestiers éloignés de villages</t>
  </si>
  <si>
    <t>Récupération en PEVde routine</t>
  </si>
  <si>
    <t>Certaines croyances religieuses</t>
  </si>
  <si>
    <t>C’est une population moyenne d’estimation</t>
  </si>
  <si>
    <t>DJOLI</t>
  </si>
  <si>
    <t>Campements  des pécheurs et éleveur</t>
  </si>
  <si>
    <t>Utiliser la stratégie mobile</t>
  </si>
  <si>
    <t>KiKawaliste</t>
  </si>
  <si>
    <t>As Yalongonda</t>
  </si>
  <si>
    <t>Sensibilisation</t>
  </si>
  <si>
    <t>LIGOMO</t>
  </si>
  <si>
    <t>Villages et hameaux situés le long de la frontière, forte mobilité transfrontalière</t>
  </si>
  <si>
    <t>Population issue des registres AS, rapports BCZS, données DPS</t>
  </si>
  <si>
    <t>Enfants &lt;1 an, 0–23 mois, FAP</t>
  </si>
  <si>
    <t>Vaccination transfrontalière, coordination avec ZS/pays voisins, stratégies avancées et mobiles, implication des autorités locales</t>
  </si>
  <si>
    <t>Groupes pastoraux, pêcheurs mobiles, chasseurs</t>
  </si>
  <si>
    <t>Estimation basée sur RECO, chefs coutumiers, rapports communautaires</t>
  </si>
  <si>
    <t>Enfants &lt;1 an, 0–23 mois</t>
  </si>
  <si>
    <t>Cartographie communautaire, séances mobiles flexibles, vaccination lors des marchés et points de regroupement</t>
  </si>
  <si>
    <t>Sites de déplacés, familles d’accueil, zones post-conflit</t>
  </si>
  <si>
    <t>Données OCHA, rapports partenaires humanitaires, BCZS</t>
  </si>
  <si>
    <t>Enfants &lt;1 an, 0–59 mois, FAP</t>
  </si>
  <si>
    <t>Stratégies mobiles, intégration vaccination aux services humanitaires, collaboration ONG/UNICEF</t>
  </si>
  <si>
    <t>Zones enclavées (forêts, rivières, routes impraticables)</t>
  </si>
  <si>
    <t>Estimation AS, cartes sanitaires, rapports de supervision</t>
  </si>
  <si>
    <t>Stratégies avancées et mobiles, microplanification adaptée, utilisation pirogues/motos</t>
  </si>
  <si>
    <t>Villages limitrophes avec double dépendance administrative</t>
  </si>
  <si>
    <t>Données BCZS, réunions inter-AS</t>
  </si>
  <si>
    <t>Enfants &lt;1 an, FAP</t>
  </si>
  <si>
    <t>Harmonisation inter-AS, clarification des responsabilités, planification conjointe</t>
  </si>
  <si>
    <t>Aires de santé avec CV VAA &lt;80%</t>
  </si>
  <si>
    <t>Données DHIS2, rapports PEV</t>
  </si>
  <si>
    <t>Enfants 9–59 mois</t>
  </si>
  <si>
    <t>Récupération des enfants zéro dose/sous-vaccinés, séances de rattrapage, communication de proximité</t>
  </si>
  <si>
    <t>Aires de santé avec CV VAR &lt;80%</t>
  </si>
  <si>
    <t>Enfants 9–23 mois</t>
  </si>
  <si>
    <t>Renforcement des stratégies avancées, suivi des abandons, supervision formative</t>
  </si>
  <si>
    <t>Groupes religieux/culturels réticents, fausses croyances</t>
  </si>
  <si>
    <t>Identification communautaire, RECO, leaders locaux</t>
  </si>
  <si>
    <t>Communication pour le changement social et comportemental (SBC), implication leaders communautaires et religieux</t>
  </si>
  <si>
    <t>MOMPONO</t>
  </si>
  <si>
    <t>BOKENDA, TOKOKA et YAMAA</t>
  </si>
  <si>
    <t>6 582</t>
  </si>
  <si>
    <t>Fixe et Avance</t>
  </si>
  <si>
    <t>BOKUNGU</t>
  </si>
  <si>
    <t>Campement d’accès difficile</t>
  </si>
  <si>
    <t>14751(campement)</t>
  </si>
  <si>
    <t>Stratégie fluviale</t>
  </si>
  <si>
    <t>7451(campement)</t>
  </si>
  <si>
    <t>AS ESONGO/ WONGONGO, AS LIKUKU II</t>
  </si>
  <si>
    <t>IKELA</t>
  </si>
  <si>
    <t>Population riveraine (les campements des pécheurs)</t>
  </si>
  <si>
    <t>Planifier les stratégies riveraines</t>
  </si>
  <si>
    <t>CAMP YALOKEMBE, LOILE, BEKONDO, BULAMA, LOILE ET ITONDOLO</t>
  </si>
  <si>
    <t>2024/DENOMBREMENT 2026</t>
  </si>
  <si>
    <t>Stratégies avancée et fluviale</t>
  </si>
  <si>
    <t>Camp. LEESU, BEKONDO, BULAMA, LOILE, LOLAKA, YAYENGA 2</t>
  </si>
  <si>
    <t>Stratégies fluviale , IPVS et OVM</t>
  </si>
  <si>
    <t>YALOKELE 2</t>
  </si>
  <si>
    <t>Stratégie avancée</t>
  </si>
  <si>
    <t>CAMP  LOILE, BONYOMA LOFA , LUFO, EMA,</t>
  </si>
  <si>
    <t>2017/DENOMBREMENT 2025</t>
  </si>
  <si>
    <t>Planifier les stratégies des vaccination avancées et mobiles</t>
  </si>
  <si>
    <t>Camp. LOILE,LUFO, EMA,BONYOMA BOTULA , BISONGO, BOKUNG’ALIBA</t>
  </si>
  <si>
    <t>4012/ Dénombrement 2025</t>
  </si>
  <si>
    <t>EMA,BONYOMA BOTULA , BISONGO, BOKUNG’ALIBA</t>
  </si>
  <si>
    <t>% Fixes réalisées</t>
  </si>
  <si>
    <t>% Avancées réalisées</t>
  </si>
  <si>
    <t>% Mobiles  réalisées</t>
  </si>
  <si>
    <t>Moyenne Fixes prévues en 2025</t>
  </si>
  <si>
    <t>Moyenne Avancées prévues en 2025</t>
  </si>
  <si>
    <t>Moyenne Mobiles  prévues en 2025</t>
  </si>
  <si>
    <t xml:space="preserve">Stratégies Fixes planifiées </t>
  </si>
  <si>
    <t xml:space="preserve">Stratégies Avancées  planifiées </t>
  </si>
  <si>
    <t xml:space="preserve">Stratégies Mobiles  planifiées </t>
  </si>
  <si>
    <t xml:space="preserve">Stratégies Spéciales planifiées </t>
  </si>
  <si>
    <t>VPI1</t>
  </si>
  <si>
    <t>VPI2</t>
  </si>
  <si>
    <t>PENTA1</t>
  </si>
  <si>
    <t>PENTA2</t>
  </si>
  <si>
    <t>PENTA3</t>
  </si>
  <si>
    <t>VAR1</t>
  </si>
  <si>
    <t>VAR2</t>
  </si>
  <si>
    <t>Haut Katanga</t>
  </si>
  <si>
    <t>Haut Lomami</t>
  </si>
  <si>
    <t>Kasaï</t>
  </si>
  <si>
    <t>Maniema</t>
  </si>
  <si>
    <t>Sankuru</t>
  </si>
  <si>
    <t>Tanganyika</t>
  </si>
  <si>
    <t>Tshopo</t>
  </si>
  <si>
    <t>N° activité</t>
  </si>
  <si>
    <t>Intitulé</t>
  </si>
  <si>
    <t xml:space="preserve">Partenaire </t>
  </si>
  <si>
    <t>S1</t>
  </si>
  <si>
    <t>S2</t>
  </si>
  <si>
    <t>Commentaires</t>
  </si>
  <si>
    <t>1,12</t>
  </si>
  <si>
    <t xml:space="preserve"> Rendre disponible les outils de gestion dans les établissements de santé pour la mise en œuvre des les activités de vaccination  à tout contact pour la réduction des occasions de vaccination manquées (OMV) au cours des
 activités curatives et préventives dans les établissements de santé de 6 DPS necessitant un appui specifique (Maindombe, Mongala, Tshopo, Kasai oriental , Haut Katanga et Tshuapa)</t>
  </si>
  <si>
    <t xml:space="preserve">Organiser les activités de vaccination dans les zones fluviales/riveraines de 2 provinces specifiques traversées par le fleuve et/ou une grande rivière (Tshopo etTshuapa): Vacciner directement  les enfants identifiés au cours de la mission </t>
  </si>
  <si>
    <t>2.10</t>
  </si>
  <si>
    <t>Assurer la formation continue  des prestataires des 26 provinces en PEV pratique adapté à l'IA à l'aide de E Learning couplé avec le suivi post formation au cours des supervisions intégrées</t>
  </si>
  <si>
    <t>4.6</t>
  </si>
  <si>
    <t>Contribuer à l'impression   des outils intégrés du SNIS dans les provinces de Maindombe,Kasai oriental,Tshopo,Mongala,Haut Katanga,Nord Kivu,Sud Kivu,Ituri et Tshuapa</t>
  </si>
  <si>
    <t>4.10</t>
  </si>
  <si>
    <t>Réaliser trimestriellement le Lot Quality Assurance Sampling (LQAS) en routine pour mesurer les performances des 6 DPS necessitant un appui spécifiques (Tshopo, Maindombe, Kasai Oriental, Mongala, Haut Katanga,Tshuapa)</t>
  </si>
  <si>
    <t>4.12</t>
  </si>
  <si>
    <t>Organiser les ateliers d'amélioration des données à tous les niveaux (Validation des données des 26 DPS, Joint Reporting Form(JRF) pour les 26 DPS et analyse des données pour les 6 DPS necessitant un appui spécifique ( Mongala, Kasai Oriental, Maindombe, Tshopo, Haut Katanga et Tshuapa)</t>
  </si>
  <si>
    <t>5.6</t>
  </si>
  <si>
    <t>Appuyer le processus de recherche active ,d'investigation  et de prise en charge des cas grave de MAPI</t>
  </si>
  <si>
    <t>6.6</t>
  </si>
  <si>
    <t>Appuyer les réseaux des associations féminines et les associations des hommes pour la realisation des activités communautaires sur la promotion de la masculinité positive pour la vaccination, la parentalité et l'adoption des normes sociales en faveur de la vaccination au sein du couple pour les parents, les filles, garcons, et les leaders communautaires dans les provinces avec defis majeurs lies au genre (Kasai Oriental et Tshuapa): Etablir un partenariat avec 2 reseaux d'association feminine par province</t>
  </si>
  <si>
    <t>1.4.1 Organiser les supervisions formatives intégrées trimestrielles en prenant en compte l'approche d'amélioration collaborative de la qualité des 26 DPS vers les ZS: Organiser les missions de supervisions trimestrielles des encadreurs provinciaux des 26 DPS vers les ZS</t>
  </si>
  <si>
    <t>CAGF</t>
  </si>
  <si>
    <t xml:space="preserve">1.10.3 Organiser les activités de vaccination en stratégie avancée dans les 26 DPS: Vacciner les enfants sur base de la liste des enfants du site </t>
  </si>
  <si>
    <t xml:space="preserve">1.11.3 Organiser les activités de vaccination en recourant à la stratégie mobile dans les zones de santé avec des sites de vaccination éloignés ou d'acces difficile (plus de 10km du centre de santé) dans 6 DPS necessitant un appui spécifique(Maindombe,Mongala,Tshopo,Kasai oriental,Haut Katanga et Tshuapa): Vacciner les enfants sur base de la liste des enfants attendus </t>
  </si>
  <si>
    <t xml:space="preserve">1.13.3 Organiser la vaccination dans les points de concentration (marchés fréquentés par les mères et gardiennes d’enfants carrefours, ports, rassemblements ponctuels des femmes) dans les 6 DPS necessitant un appui specifique (Maindombe, Mongala, Tshopo, Kasai oriental , Haut Katanga et Tshuapa): Vacciner les enfants  présents dans le site  </t>
  </si>
  <si>
    <t>1.14.3 Organiser les activités de vaccination selon l'horaire des activités des mères et/ ou des gardiennes d'enfants parmis les DPS specifiques ayant des défis par rapport à l'occupation des mères ( Kasai oriental et Tshuapa): Organiser les séances de vaccination</t>
  </si>
  <si>
    <t>3.18.1 Doter les coordinations et les antennes en carburant pour le fonctionnement des groupes électrogènes.</t>
  </si>
  <si>
    <t>3.23.1 Assurer la maintenance  des petits équipements de la chaine du froid/Réfrigérateurs des 26 provinces.</t>
  </si>
  <si>
    <t xml:space="preserve">3.27.3 Organiser la supervision logistique pour l'amélioration continue de la chaine logistique au niveau  des Zones de Santé des 26 Provinces: Par le niveau national vers les antennes:  Par les ZS vers CS   </t>
  </si>
  <si>
    <t xml:space="preserve">4.7.1 Appuyer l'organisation systématique des réunions de monitorage mensuel au niveau des AS et BCZS dans les DPS de la Tshopo,Mongala,Kasai Oriental,Maindombe,Haut Katanga et Tshuapa: Organiser les réunions de monitorage mensuel au niveau AS </t>
  </si>
  <si>
    <t xml:space="preserve">4.7.2 Appuyer l'organisation systématique des réunions de monitorage mensuel au niveau des AS et BCZS dans les DPS de la Tshopo,Mongala,Kasai Oriental,Maindombe,Haut Katanga et Tshuapa:  Organiser les réunions de monitorage mensuel au niveau ZS </t>
  </si>
  <si>
    <t>4.12.1 Analyse des données pour les 6 DPS necessitant un appui spécifique ( Mongala, Kasai Oriental, Maindombe, Tshopo, Haut Katanga et Tshuapa)</t>
  </si>
  <si>
    <t xml:space="preserve">4.12.1  et analyse des données pour les 6 DPS necessitant un appui spécifique ( Mongala, Kasai Oriental, Maindombe, Tshopo, Haut Katanga et Tshuapa): </t>
  </si>
  <si>
    <t>4.12.1 Organiser les ateliers d'amélioration des données à tous les niveaux (Validation des données des 26 DPS, Joint Reporting Form(JRF) pour les 26 DPS et analyse des données pour les 6 DPS necessitant un appui spécifique ( Mongala, Kasai Oriental, Maindombe, Tshopo, Haut Katanga et Tshuapa): Organiser les réunions Semestrielles d'analyse des données</t>
  </si>
  <si>
    <t>7.8.1 Appuyer le fonctionnement des DPS ,des Antennes PEV et des coordinations PEV au niveau des 5 provinces necessiatnt un appui spécifique(Maindombe,Kasai oriental,Tshopo,Mongala, Haut Katanga et Tshuapa)s</t>
  </si>
  <si>
    <t>7.12.1 Organiser les missions d'inspection des activités de vaccination par l’IGS et l'IPS: Appuyer les missions trimestrielles d'inspection des IPS vers les ZS dans les 6 DPS prioritaires</t>
  </si>
  <si>
    <t xml:space="preserve">POPULATIONS CIBLES SELON DIFFERENTES SOURCES </t>
  </si>
  <si>
    <t>Somme de Cible 0 11 mois Microplan 2025</t>
  </si>
  <si>
    <t>Somme de Cible 0 11 mois DHIS2</t>
  </si>
  <si>
    <t>Somme de Cible 0 11 mois dénombré AVS Polio 2025</t>
  </si>
  <si>
    <t>Somme de Cible 0 11 mois Ajusté</t>
  </si>
  <si>
    <t>Somme de Cible 0 11 mois Vacciné AVS Polio 2025</t>
  </si>
  <si>
    <t>Total Boende</t>
  </si>
  <si>
    <t>Total Bokungu</t>
  </si>
  <si>
    <t>Total général</t>
  </si>
  <si>
    <t xml:space="preserve">INTEGRATION SERVICE VACCINATION DANS LES ETABLISSEMENT DE SOIN DE SANTE  </t>
  </si>
  <si>
    <t xml:space="preserve"> Nbr ESS DHIS2</t>
  </si>
  <si>
    <t xml:space="preserve"> Nbr ESS qui vaccinent DHIS2</t>
  </si>
  <si>
    <t>Nbr ESS Microplan</t>
  </si>
  <si>
    <t>Nbr ESS qui vaccinent Microplan</t>
  </si>
  <si>
    <t>DISTANCE AS PAR RAPPORT BCZ</t>
  </si>
  <si>
    <t>&lt;60Km</t>
  </si>
  <si>
    <t>&gt;60Km</t>
  </si>
  <si>
    <t xml:space="preserve">DISTANCE  DERNIER VILLAGE vs CENTRE DE SANTE </t>
  </si>
  <si>
    <t>&lt;10Km</t>
  </si>
  <si>
    <t>&gt;10Km</t>
  </si>
  <si>
    <t xml:space="preserve">DISPONIBILITE RESEAU TELEPHONIQUE </t>
  </si>
  <si>
    <t xml:space="preserve">CAC_RECO_AUTRE CANAUX DE COMMUNICATION </t>
  </si>
  <si>
    <t xml:space="preserve">CHAINE DE FROID </t>
  </si>
  <si>
    <t xml:space="preserve">Fonctionnel </t>
  </si>
  <si>
    <t xml:space="preserve">Panne </t>
  </si>
  <si>
    <t xml:space="preserve">CV en chaine de froid fonctionnel </t>
  </si>
  <si>
    <t>Periode</t>
  </si>
  <si>
    <t>Annee</t>
  </si>
  <si>
    <t>Type_Couverture</t>
  </si>
  <si>
    <t>antenne</t>
  </si>
  <si>
    <t>BCG</t>
  </si>
  <si>
    <t>Penta1</t>
  </si>
  <si>
    <t>Penta3</t>
  </si>
  <si>
    <t>VPO1</t>
  </si>
  <si>
    <t>VPO3</t>
  </si>
  <si>
    <t>PCV1</t>
  </si>
  <si>
    <t>PCV3</t>
  </si>
  <si>
    <t>Rota1</t>
  </si>
  <si>
    <t>Rota3</t>
  </si>
  <si>
    <t>VAA</t>
  </si>
  <si>
    <t>VAP1</t>
  </si>
  <si>
    <t>VAP4</t>
  </si>
  <si>
    <t>Date_Generation</t>
  </si>
  <si>
    <t>Décembre</t>
  </si>
  <si>
    <t>2025</t>
  </si>
  <si>
    <t>Ajustée</t>
  </si>
  <si>
    <t>04/04/2026 16:04</t>
  </si>
  <si>
    <t>indicateurs PFA</t>
  </si>
  <si>
    <t>Indicateurs Rougeole</t>
  </si>
  <si>
    <t>Indicateur</t>
  </si>
  <si>
    <t>Valeur</t>
  </si>
  <si>
    <t>PFA &lt; 15 ans</t>
  </si>
  <si>
    <t>Nb de cas enregistrés (DSR)</t>
  </si>
  <si>
    <t>3 331</t>
  </si>
  <si>
    <t>Taux PFA NP annualisé</t>
  </si>
  <si>
    <t>Décès</t>
  </si>
  <si>
    <t>% selles adéquates</t>
  </si>
  <si>
    <t>Nb de cas notifiés et prélevés</t>
  </si>
  <si>
    <t>% cas investigués dans les 48h</t>
  </si>
  <si>
    <t>Proportion ≥ 80%</t>
  </si>
  <si>
    <t>% cas notifiés ≤ 7 jours</t>
  </si>
  <si>
    <t>Taux annualisé (≥1/100 000)</t>
  </si>
  <si>
    <t>% cas avec 2 échantillons ≤ 14 jours</t>
  </si>
  <si>
    <t>Rougeole IgM+ (Nb)</t>
  </si>
  <si>
    <t>% échantillons reçus au labo ≤ 3 jours</t>
  </si>
  <si>
    <t>% &lt;10% (qualité labo rougeole)</t>
  </si>
  <si>
    <t>PVS (n)</t>
  </si>
  <si>
    <t>Rougeole confirmée labo (Nb)</t>
  </si>
  <si>
    <t>VDPV (n)</t>
  </si>
  <si>
    <t>Flambées/épidémies (Nb)</t>
  </si>
  <si>
    <t>Compatible (n)</t>
  </si>
  <si>
    <t>Taux annualisé flambées</t>
  </si>
  <si>
    <t>Taux Entero-NP</t>
  </si>
  <si>
    <t>ZS avec ≥1 cas suspect prélevé (Nb)</t>
  </si>
  <si>
    <t>% ZS silencieuses</t>
  </si>
  <si>
    <t>% ≥80% ZS performantes</t>
  </si>
  <si>
    <t>% cas inadéquats suivis à 60 jours</t>
  </si>
  <si>
    <t>Rubéole IgM+ (Nb)</t>
  </si>
  <si>
    <t>% &lt;10% rubéole</t>
  </si>
  <si>
    <t>Taux annualisé rubéole</t>
  </si>
  <si>
    <t>Incidence cas confirmés IgM+/1 000 000</t>
  </si>
  <si>
    <t>Niveau de priorité</t>
  </si>
  <si>
    <t>Nombre de formations sanitaires</t>
  </si>
  <si>
    <t>Nombre de tradipraticiens</t>
  </si>
  <si>
    <t>Nombre de maisons de prière</t>
  </si>
  <si>
    <t>Haute</t>
  </si>
  <si>
    <t>Moyenne</t>
  </si>
  <si>
    <t>Basse</t>
  </si>
  <si>
    <t>(non spécifié FS)</t>
  </si>
  <si>
    <t>-</t>
  </si>
  <si>
    <t>Bosanga</t>
  </si>
  <si>
    <t xml:space="preserve">Zone de santé </t>
  </si>
  <si>
    <t>Haute priorité</t>
  </si>
  <si>
    <t xml:space="preserve">Type </t>
  </si>
  <si>
    <t>Moyenne priorité</t>
  </si>
  <si>
    <t>Type</t>
  </si>
  <si>
    <t xml:space="preserve">Basse priorité </t>
  </si>
  <si>
    <t>CS BDE 2 KIMBANGU</t>
  </si>
  <si>
    <t>ESS</t>
  </si>
  <si>
    <t>EGLISE BENEDICTION</t>
  </si>
  <si>
    <t xml:space="preserve">Maison Prière </t>
  </si>
  <si>
    <t>TRADI IYONGO</t>
  </si>
  <si>
    <t xml:space="preserve">Tradipraticien </t>
  </si>
  <si>
    <t>CS BOENDE MOKE</t>
  </si>
  <si>
    <t>EGLISE BETHSAIDA</t>
  </si>
  <si>
    <t>TRADI BALIKO</t>
  </si>
  <si>
    <t>CSR BOLEMBA</t>
  </si>
  <si>
    <t>EGLISE KONDIMA YA SIKA</t>
  </si>
  <si>
    <t>TRADIPRATICIEN BOKONGO</t>
  </si>
  <si>
    <t>CS EFOKU</t>
  </si>
  <si>
    <t>EGLISE MOANDA</t>
  </si>
  <si>
    <t>TRADIPRATICIEN BOKOTO</t>
  </si>
  <si>
    <t>CS EKONDA</t>
  </si>
  <si>
    <t>ETONGA NA NZAMBE</t>
  </si>
  <si>
    <t>TRADIPRATICIEN BOLEMBA</t>
  </si>
  <si>
    <t>CS ILONGONKINDO</t>
  </si>
  <si>
    <t>MAY YA SIKA</t>
  </si>
  <si>
    <t>CS IMBO</t>
  </si>
  <si>
    <t>MAMAN BONKALI</t>
  </si>
  <si>
    <t>CS YENGE</t>
  </si>
  <si>
    <t>LE BLANC</t>
  </si>
  <si>
    <t>PS BOTSINI</t>
  </si>
  <si>
    <t>TRADIPRATICIEN</t>
  </si>
  <si>
    <t>CS WATSI</t>
  </si>
  <si>
    <t>BOWANGA</t>
  </si>
  <si>
    <t>CS WATSINKENGO</t>
  </si>
  <si>
    <t>ESUKU</t>
  </si>
  <si>
    <t>HGR BOENDE</t>
  </si>
  <si>
    <t>IKOLO</t>
  </si>
  <si>
    <t>CS IYELE</t>
  </si>
  <si>
    <t>TRADI IYELE</t>
  </si>
  <si>
    <t>CS LIFOKU</t>
  </si>
  <si>
    <t>CS LOFONDO</t>
  </si>
  <si>
    <t>TRADI LOKOLIA</t>
  </si>
  <si>
    <t>CS LOKULA</t>
  </si>
  <si>
    <t>TRADI YEKWA</t>
  </si>
  <si>
    <t>CSR MARIE LOUISE</t>
  </si>
  <si>
    <t>KINESITHERAPEUTE IYENGE</t>
  </si>
  <si>
    <t>CS MOTEMA MOSANTU</t>
  </si>
  <si>
    <t>POLYCLINIQUE EXCELLENCE</t>
  </si>
  <si>
    <t>CS BOKONGO</t>
  </si>
  <si>
    <t>CS BONGOY</t>
  </si>
  <si>
    <t>CS CDCC</t>
  </si>
  <si>
    <t>CS EANDJA NSAMBA</t>
  </si>
  <si>
    <t>EANDJA IYONDJE</t>
  </si>
  <si>
    <t>CS EKOMBE</t>
  </si>
  <si>
    <t>CS IKONGE</t>
  </si>
  <si>
    <t>CS ILOMBE-NTOMBA</t>
  </si>
  <si>
    <t>PS TOKUMBO</t>
  </si>
  <si>
    <t>CS ILOMBE-BOKELE</t>
  </si>
  <si>
    <t>CS IYALI-BOONDE</t>
  </si>
  <si>
    <t>CS LISAFU</t>
  </si>
  <si>
    <t>CS LOKALI</t>
  </si>
  <si>
    <t>CS LOKOLIA</t>
  </si>
  <si>
    <t>CS MONDOMBE</t>
  </si>
  <si>
    <t>PS ESPERANCE</t>
  </si>
  <si>
    <t>CS NDJAFA</t>
  </si>
  <si>
    <t>CS NSONGE</t>
  </si>
  <si>
    <t>CS YAA</t>
  </si>
  <si>
    <t>PS MPOMBI</t>
  </si>
  <si>
    <t>HGR</t>
  </si>
  <si>
    <t>CS LOFUKO</t>
  </si>
  <si>
    <t>PS LUENDE</t>
  </si>
  <si>
    <t>CS EKAFERA</t>
  </si>
  <si>
    <t>PS BOKOLI PLANTATION</t>
  </si>
  <si>
    <t>EANDJA</t>
  </si>
  <si>
    <t>CS BEKIRI</t>
  </si>
  <si>
    <t>PS LOFIMA</t>
  </si>
  <si>
    <t>LIKAKO</t>
  </si>
  <si>
    <t>ISUFLE</t>
  </si>
  <si>
    <t xml:space="preserve">Maison de prière </t>
  </si>
  <si>
    <t>EGLISE LA GRANCE</t>
  </si>
  <si>
    <t>LOLENGI</t>
  </si>
  <si>
    <t>BIMA YONGO</t>
  </si>
  <si>
    <t>ENSEMBLEE DES SAINTS</t>
  </si>
  <si>
    <t>BEKIRI</t>
  </si>
  <si>
    <t>FEPAKO</t>
  </si>
  <si>
    <t>EGLISE BIMA ISENGA</t>
  </si>
  <si>
    <t>BOLAFA</t>
  </si>
  <si>
    <t>ESIPE</t>
  </si>
  <si>
    <t>ESNEL BOANGI</t>
  </si>
  <si>
    <t>LIFINDO</t>
  </si>
  <si>
    <t>ISLAM</t>
  </si>
  <si>
    <t>BOONIA</t>
  </si>
  <si>
    <t>BIMA</t>
  </si>
  <si>
    <t>LOFUKYA</t>
  </si>
  <si>
    <t>BIMA IYANGA</t>
  </si>
  <si>
    <t>BOKOLI</t>
  </si>
  <si>
    <t>LOFUKO</t>
  </si>
  <si>
    <t>LISOKO</t>
  </si>
  <si>
    <t>LOMAKO</t>
  </si>
  <si>
    <t>ENGUNDA</t>
  </si>
  <si>
    <t>BOLUMBULOKO</t>
  </si>
  <si>
    <t>LIFUMBA</t>
  </si>
  <si>
    <t>BARINGA</t>
  </si>
  <si>
    <t>IKOMBE</t>
  </si>
  <si>
    <t>DJEFERA</t>
  </si>
  <si>
    <t>MANGE</t>
  </si>
  <si>
    <t>EKAFERA</t>
  </si>
  <si>
    <t>HGR BEFALE</t>
  </si>
  <si>
    <t>CSR BARINGA</t>
  </si>
  <si>
    <t>CSR LOLENGI</t>
  </si>
  <si>
    <t>CSR BOONIA</t>
  </si>
  <si>
    <t>ITIMBO</t>
  </si>
  <si>
    <t>WASH TOWER</t>
  </si>
  <si>
    <t>BANGA NZAMBE</t>
  </si>
  <si>
    <t>HGR/DJOLU</t>
  </si>
  <si>
    <r>
      <rPr>
        <sz val="11"/>
        <color theme="1"/>
        <rFont val="Calibri"/>
        <charset val="134"/>
        <scheme val="minor"/>
      </rPr>
      <t xml:space="preserve">CS </t>
    </r>
    <r>
      <rPr>
        <sz val="11"/>
        <color theme="1"/>
        <rFont val="Calibri"/>
        <charset val="134"/>
      </rPr>
      <t xml:space="preserve"> </t>
    </r>
    <r>
      <rPr>
        <sz val="11"/>
        <color theme="1"/>
        <rFont val="Calibri"/>
        <charset val="134"/>
      </rPr>
      <t>BOLOMBO</t>
    </r>
  </si>
  <si>
    <t>PS YENGUNDA</t>
  </si>
  <si>
    <t>CSR/YOSEKI</t>
  </si>
  <si>
    <t>CS LIINDJA</t>
  </si>
  <si>
    <t>PS BO0NDE</t>
  </si>
  <si>
    <t>LISUNGI/BOKOKOLO</t>
  </si>
  <si>
    <t>CS BOFOLA</t>
  </si>
  <si>
    <r>
      <rPr>
        <sz val="11"/>
        <color theme="1"/>
        <rFont val="Calibri"/>
        <charset val="134"/>
        <scheme val="minor"/>
      </rPr>
      <t xml:space="preserve">PS </t>
    </r>
    <r>
      <rPr>
        <sz val="11"/>
        <color theme="1"/>
        <rFont val="Calibri"/>
        <charset val="134"/>
      </rPr>
      <t xml:space="preserve"> </t>
    </r>
    <r>
      <rPr>
        <sz val="11"/>
        <color theme="1"/>
        <rFont val="Calibri"/>
        <charset val="134"/>
      </rPr>
      <t>YOKONDJI</t>
    </r>
  </si>
  <si>
    <t>LISUNGI BOKOKOLO</t>
  </si>
  <si>
    <t>CS YALONGONDA</t>
  </si>
  <si>
    <t>PS YOPOKO</t>
  </si>
  <si>
    <t>CS DJOLU-MOKE</t>
  </si>
  <si>
    <t>PS LOKOMBO</t>
  </si>
  <si>
    <r>
      <rPr>
        <sz val="11"/>
        <color theme="1"/>
        <rFont val="Calibri"/>
        <charset val="134"/>
        <scheme val="minor"/>
      </rPr>
      <t xml:space="preserve"> </t>
    </r>
    <r>
      <rPr>
        <sz val="11"/>
        <color theme="1"/>
        <rFont val="Calibri"/>
        <charset val="134"/>
      </rPr>
      <t>CS YASEKO</t>
    </r>
  </si>
  <si>
    <t>PS YAYAU</t>
  </si>
  <si>
    <t>CS YANSAO</t>
  </si>
  <si>
    <t>PS SOCOLO</t>
  </si>
  <si>
    <t>CS NKOLE-BOKUMBU</t>
  </si>
  <si>
    <t>PS BOKOND0</t>
  </si>
  <si>
    <t>CS MPUSTUANGA</t>
  </si>
  <si>
    <t>CLINIC ISOOLONGA</t>
  </si>
  <si>
    <t>CS BOSENGEALOMBONGO</t>
  </si>
  <si>
    <t>PS LINGONDJI</t>
  </si>
  <si>
    <t>CS YAKATE</t>
  </si>
  <si>
    <t>YAYENGE</t>
  </si>
  <si>
    <t>CS YOKWA</t>
  </si>
  <si>
    <t>PS YOKOSE</t>
  </si>
  <si>
    <t>CS BEFORI</t>
  </si>
  <si>
    <t>PS BOKOKOLO</t>
  </si>
  <si>
    <t>CS YALISELE</t>
  </si>
  <si>
    <t>PS YAINDJO</t>
  </si>
  <si>
    <t>CS NSEMA</t>
  </si>
  <si>
    <t>PS LIKELI</t>
  </si>
  <si>
    <t>CS WAMBA</t>
  </si>
  <si>
    <t>PS BOSIMBA</t>
  </si>
  <si>
    <t>CS YANGONDE</t>
  </si>
  <si>
    <t>PS BOTOKU</t>
  </si>
  <si>
    <t>CS YANYANGOMBULA</t>
  </si>
  <si>
    <t>PS YAMBENDJA</t>
  </si>
  <si>
    <t>CS YAIKALA</t>
  </si>
  <si>
    <t>PS BOLINDA</t>
  </si>
  <si>
    <t>CS BONGILA</t>
  </si>
  <si>
    <t>PS BONGOY</t>
  </si>
  <si>
    <t>CS IYAMBO</t>
  </si>
  <si>
    <t>PS YALOMBOTO</t>
  </si>
  <si>
    <t>CS YOOTE</t>
  </si>
  <si>
    <t>PS ELINDA</t>
  </si>
  <si>
    <t>CS YOFILI</t>
  </si>
  <si>
    <t>PS LOKOMBE</t>
  </si>
  <si>
    <t>CS IYENGA</t>
  </si>
  <si>
    <t>PS BOLONGO</t>
  </si>
  <si>
    <t>CS YAKILI</t>
  </si>
  <si>
    <t>PS LIFANGA</t>
  </si>
  <si>
    <t>CS LOKOMBO</t>
  </si>
  <si>
    <t>PS YELUSALEM</t>
  </si>
  <si>
    <t>PS YANTUKU</t>
  </si>
  <si>
    <t>BANGANZA MBE</t>
  </si>
  <si>
    <t>PS YALOKULI</t>
  </si>
  <si>
    <t>LISUNGI BOKONDO</t>
  </si>
  <si>
    <t>PS YAPERE-MOKE</t>
  </si>
  <si>
    <r>
      <rPr>
        <sz val="11"/>
        <color theme="1"/>
        <rFont val="Calibri"/>
        <charset val="134"/>
        <scheme val="minor"/>
      </rPr>
      <t xml:space="preserve">PS YAPERE </t>
    </r>
    <r>
      <rPr>
        <sz val="11"/>
        <color theme="1"/>
        <rFont val="Calibri"/>
        <charset val="134"/>
      </rPr>
      <t xml:space="preserve"> </t>
    </r>
    <r>
      <rPr>
        <sz val="11"/>
        <color theme="1"/>
        <rFont val="Calibri"/>
        <charset val="134"/>
      </rPr>
      <t>CROISEMENT</t>
    </r>
  </si>
  <si>
    <t>PS YEMBELE 2</t>
  </si>
  <si>
    <t>PS IFUNGA</t>
  </si>
  <si>
    <t>PS ELONDA</t>
  </si>
  <si>
    <t>PS YAMBELI</t>
  </si>
  <si>
    <t>PS NDONGO</t>
  </si>
  <si>
    <t>PS YAMBONDJO</t>
  </si>
  <si>
    <t>PS YOLUMBO</t>
  </si>
  <si>
    <r>
      <rPr>
        <sz val="11"/>
        <color theme="1"/>
        <rFont val="Calibri"/>
        <charset val="134"/>
        <scheme val="minor"/>
      </rPr>
      <t xml:space="preserve">PS </t>
    </r>
    <r>
      <rPr>
        <sz val="11"/>
        <color theme="1"/>
        <rFont val="Calibri"/>
        <charset val="134"/>
      </rPr>
      <t xml:space="preserve"> </t>
    </r>
    <r>
      <rPr>
        <sz val="11"/>
        <color theme="1"/>
        <rFont val="Calibri"/>
        <charset val="134"/>
      </rPr>
      <t>LIKAKASA</t>
    </r>
  </si>
  <si>
    <t>PS YALOKENGE</t>
  </si>
  <si>
    <t>PS YEETE</t>
  </si>
  <si>
    <t>PS LOPORI</t>
  </si>
  <si>
    <t>PS YANSALANKOSE</t>
  </si>
  <si>
    <r>
      <rPr>
        <sz val="11"/>
        <color theme="1"/>
        <rFont val="Calibri"/>
        <charset val="134"/>
        <scheme val="minor"/>
      </rPr>
      <t xml:space="preserve">PS </t>
    </r>
    <r>
      <rPr>
        <sz val="11"/>
        <color theme="1"/>
        <rFont val="Calibri"/>
        <charset val="134"/>
      </rPr>
      <t xml:space="preserve"> </t>
    </r>
    <r>
      <rPr>
        <sz val="11"/>
        <color theme="1"/>
        <rFont val="Calibri"/>
        <charset val="134"/>
      </rPr>
      <t>YAMPOTSI</t>
    </r>
  </si>
  <si>
    <t>NTOLENGOLE</t>
  </si>
  <si>
    <t>GRAND NGOLO</t>
  </si>
  <si>
    <t>PILOTE BONDEKO</t>
  </si>
  <si>
    <t>MAMAN ENGAMBA</t>
  </si>
  <si>
    <r>
      <rPr>
        <b/>
        <sz val="11"/>
        <color theme="1"/>
        <rFont val="Times New Roman"/>
        <charset val="134"/>
      </rPr>
      <t xml:space="preserve">MONGALI </t>
    </r>
    <r>
      <rPr>
        <b/>
        <sz val="11"/>
        <color theme="1"/>
        <rFont val="Times New Roman"/>
        <charset val="134"/>
      </rPr>
      <t xml:space="preserve"> </t>
    </r>
    <r>
      <rPr>
        <b/>
        <sz val="11"/>
        <color theme="1"/>
        <rFont val="Times New Roman"/>
        <charset val="134"/>
      </rPr>
      <t>ITOTA</t>
    </r>
  </si>
  <si>
    <t>IMOMAPAKO</t>
  </si>
  <si>
    <t>ISAKA</t>
  </si>
  <si>
    <t>BONGILI</t>
  </si>
  <si>
    <t>EMENGILI</t>
  </si>
  <si>
    <t>MPENGE KABOKO</t>
  </si>
  <si>
    <t>SALEM TABERNACLE NONGO</t>
  </si>
  <si>
    <t>NONGE LOKUA</t>
  </si>
  <si>
    <t>BIMA NONGO</t>
  </si>
  <si>
    <t>NDOMBA</t>
  </si>
  <si>
    <t>IKOLASE</t>
  </si>
  <si>
    <t>BIMA ISOMO</t>
  </si>
  <si>
    <t>BOLOLONGO</t>
  </si>
  <si>
    <t>EGLISE ILONGOLO</t>
  </si>
  <si>
    <t>BRANHAM BESANGI</t>
  </si>
  <si>
    <t>YONGO</t>
  </si>
  <si>
    <t>BOKELE</t>
  </si>
  <si>
    <t>MPENGE KAMBOKO</t>
  </si>
  <si>
    <t>NONGO</t>
  </si>
  <si>
    <t>IYETE</t>
  </si>
  <si>
    <t>LOELE</t>
  </si>
  <si>
    <t>LOANGO</t>
  </si>
  <si>
    <t>BONGAITELI</t>
  </si>
  <si>
    <t>WAFANYA</t>
  </si>
  <si>
    <t>NSAMBWANKOYI</t>
  </si>
  <si>
    <t>BIANGA</t>
  </si>
  <si>
    <t>BOMBIMBI</t>
  </si>
  <si>
    <t>MANGILOMBE</t>
  </si>
  <si>
    <t>NDJOMBO</t>
  </si>
  <si>
    <t>BOKADJAZA</t>
  </si>
  <si>
    <t>BOMATE RIVE</t>
  </si>
  <si>
    <t>MAM’OLOTSI</t>
  </si>
  <si>
    <t>VERITA</t>
  </si>
  <si>
    <t>TATA MOKUFO</t>
  </si>
  <si>
    <t>EGLISE BRANHAM DIEU</t>
  </si>
  <si>
    <t>EBODI</t>
  </si>
  <si>
    <t>KAZADI</t>
  </si>
  <si>
    <t>TABERNACLE</t>
  </si>
  <si>
    <t>BIMA MOSAPI</t>
  </si>
  <si>
    <t>BIENVENUE NTOMBA</t>
  </si>
  <si>
    <t> CS BEKILI</t>
  </si>
  <si>
    <t>PS MPAMA</t>
  </si>
  <si>
    <t>Eglise BIMA/Imongale</t>
  </si>
  <si>
    <t> CS BEKOMI</t>
  </si>
  <si>
    <r>
      <rPr>
        <b/>
        <sz val="11"/>
        <color theme="1"/>
        <rFont val="Times New Roman"/>
        <charset val="134"/>
      </rPr>
      <t xml:space="preserve">Banga nzambe </t>
    </r>
    <r>
      <rPr>
        <b/>
        <sz val="11"/>
        <color theme="1"/>
        <rFont val="Times New Roman"/>
        <charset val="134"/>
      </rPr>
      <t xml:space="preserve"> </t>
    </r>
    <r>
      <rPr>
        <b/>
        <sz val="11"/>
        <color theme="1"/>
        <rFont val="Times New Roman"/>
        <charset val="134"/>
      </rPr>
      <t>wema</t>
    </r>
  </si>
  <si>
    <t> CS BOANGA</t>
  </si>
  <si>
    <t> CS BOSILIA</t>
  </si>
  <si>
    <t> CS BOLAFA</t>
  </si>
  <si>
    <t> CS BOFOKA</t>
  </si>
  <si>
    <t> CS BOKONDJI</t>
  </si>
  <si>
    <t> CS BOKUTU</t>
  </si>
  <si>
    <t> CS BOTOKA</t>
  </si>
  <si>
    <t> CS BONSOMBO</t>
  </si>
  <si>
    <t> CS ETATA</t>
  </si>
  <si>
    <t> CS ESANGANI</t>
  </si>
  <si>
    <t> CS LIKETE</t>
  </si>
  <si>
    <t> CS LOLUNGU</t>
  </si>
  <si>
    <t> CS ILONGE</t>
  </si>
  <si>
    <t>ICS BANGALAKATA</t>
  </si>
  <si>
    <t>CS  MALELA</t>
  </si>
  <si>
    <t>CS NKOTO</t>
  </si>
  <si>
    <t>CS NGOMBISONGU</t>
  </si>
  <si>
    <t>CS PILOTE</t>
  </si>
  <si>
    <t>Eglise la main de l’éternel/ Ekala</t>
  </si>
  <si>
    <t>Papa ADINGA/ BEKILI</t>
  </si>
  <si>
    <t>Tabernacle/ likome</t>
  </si>
  <si>
    <t>KItawala/ Israel</t>
  </si>
  <si>
    <r>
      <rPr>
        <b/>
        <sz val="11"/>
        <color theme="1"/>
        <rFont val="Times New Roman"/>
        <charset val="134"/>
      </rPr>
      <t xml:space="preserve">Banga nzambe </t>
    </r>
    <r>
      <rPr>
        <b/>
        <sz val="11"/>
        <color theme="1"/>
        <rFont val="Times New Roman"/>
        <charset val="134"/>
      </rPr>
      <t xml:space="preserve"> </t>
    </r>
    <r>
      <rPr>
        <b/>
        <sz val="11"/>
        <color theme="1"/>
        <rFont val="Times New Roman"/>
        <charset val="134"/>
      </rPr>
      <t>Ibali/Ibangalakata</t>
    </r>
  </si>
  <si>
    <t>BASEKAOKOLI</t>
  </si>
  <si>
    <t>BOKAINDEMBE</t>
  </si>
  <si>
    <t>BOKAU</t>
  </si>
  <si>
    <t>BOKOKA</t>
  </si>
  <si>
    <t>BOKOLO</t>
  </si>
  <si>
    <t>EGLISE LA GRACE</t>
  </si>
  <si>
    <t>BIMA LOMAMELA</t>
  </si>
  <si>
    <t>BOKOLONGO</t>
  </si>
  <si>
    <t>BOMPONGO</t>
  </si>
  <si>
    <t>BONKONE</t>
  </si>
  <si>
    <t>BIMA YEMO</t>
  </si>
  <si>
    <t>BULUKUTU</t>
  </si>
  <si>
    <t>BRANHAM BOKAU</t>
  </si>
  <si>
    <t>EKOFO</t>
  </si>
  <si>
    <t>ELONGO</t>
  </si>
  <si>
    <t>IKENGAOLAKA II</t>
  </si>
  <si>
    <t>LENDISA</t>
  </si>
  <si>
    <t>LIANGOLA II</t>
  </si>
  <si>
    <t>LIUNGA</t>
  </si>
  <si>
    <t>LOFIMA II</t>
  </si>
  <si>
    <t>LOFOY</t>
  </si>
  <si>
    <t>LOLINGO</t>
  </si>
  <si>
    <t>LOMAMA</t>
  </si>
  <si>
    <t>LOTAKAMELA</t>
  </si>
  <si>
    <t>MARIE RENE</t>
  </si>
  <si>
    <t>YAKILI</t>
  </si>
  <si>
    <t>YEMO</t>
  </si>
  <si>
    <t>YOKAMBA</t>
  </si>
  <si>
    <t>YOSASA</t>
  </si>
  <si>
    <t>IKANZA BANGA NZAMBE</t>
  </si>
  <si>
    <t>TABERNACLE KALEB</t>
  </si>
  <si>
    <t>BOLA NYAMA</t>
  </si>
  <si>
    <t>BIENVENUE NTOMBA LOMAMA</t>
  </si>
  <si>
    <t>CSR BOKELA</t>
  </si>
  <si>
    <t>CS BENDJALI</t>
  </si>
  <si>
    <t>PS IKONE/EFEKELE</t>
  </si>
  <si>
    <t>HGR BUSANGA</t>
  </si>
  <si>
    <t>CS EFEKELE</t>
  </si>
  <si>
    <t>PS BOLEKA MPUTU</t>
  </si>
  <si>
    <t>CS BUSANGA/PILOTE</t>
  </si>
  <si>
    <t>CS EFOMI</t>
  </si>
  <si>
    <t>PS ELINGA IYONGO</t>
  </si>
  <si>
    <t>CS ENTONGOTO</t>
  </si>
  <si>
    <t>ELINGA NONGO</t>
  </si>
  <si>
    <t>PS BASEKOLOMBO</t>
  </si>
  <si>
    <t>CS ITOKO</t>
  </si>
  <si>
    <t>CS ESONGO</t>
  </si>
  <si>
    <t>PS LIKOMBE/BUSANGA</t>
  </si>
  <si>
    <t>CSR NKEMBE</t>
  </si>
  <si>
    <t>CS ISAMA</t>
  </si>
  <si>
    <t>PS BOONDO FUMBO/NDOTSI</t>
  </si>
  <si>
    <t>CS MPOMBI</t>
  </si>
  <si>
    <t>CS LOKOMA</t>
  </si>
  <si>
    <t>PS BOKELA</t>
  </si>
  <si>
    <t>CS LOKATA</t>
  </si>
  <si>
    <t>PS BUSANGA</t>
  </si>
  <si>
    <t>CS LIKUKU II</t>
  </si>
  <si>
    <t>PS ELOME/NDOTSI</t>
  </si>
  <si>
    <t>CS NDOTSI</t>
  </si>
  <si>
    <t>PS BOLUNGA/NKEMBE</t>
  </si>
  <si>
    <t>CS MOMA</t>
  </si>
  <si>
    <t>PS BOWE</t>
  </si>
  <si>
    <t>PS LIKUKU I</t>
  </si>
  <si>
    <t>Maison TREOR/BENDJALI</t>
  </si>
  <si>
    <t>Mson LUX FER/BENDJALI</t>
  </si>
  <si>
    <t>Mson CALVIN</t>
  </si>
  <si>
    <t>Mson LOTEU STANNY</t>
  </si>
  <si>
    <t>EGLISE BIMA/BOKELA</t>
  </si>
  <si>
    <t>EGLISE BOLIANYAMA/BUSANGA</t>
  </si>
  <si>
    <t>EGLISE BANGA NZAMBE/BOTO</t>
  </si>
  <si>
    <t>FILS/ MPOMBI</t>
  </si>
  <si>
    <t>EGLISE BANGA NZAMBE NONGO/NDOTSI</t>
  </si>
  <si>
    <t>MAISON DE PRIERRE BOONDO/NDOTSI</t>
  </si>
  <si>
    <t>KITAWALA TOSOW/NDOTSI</t>
  </si>
  <si>
    <t>EGLISE BANGA NZAMBE NDOTSI</t>
  </si>
  <si>
    <t>CS.BOKOLE,</t>
  </si>
  <si>
    <t>Orthodoxe</t>
  </si>
  <si>
    <t>CSR YALOYA</t>
  </si>
  <si>
    <t>CS. ENE</t>
  </si>
  <si>
    <t>Lolango</t>
  </si>
  <si>
    <t>CSR LOFUSOLOKO</t>
  </si>
  <si>
    <t>CS.WATSI</t>
  </si>
  <si>
    <t>Rca</t>
  </si>
  <si>
    <t>CS.BOBOTO</t>
  </si>
  <si>
    <t>CS.YOLOMBO</t>
  </si>
  <si>
    <t>CS.YOLONGA</t>
  </si>
  <si>
    <t>Hebron</t>
  </si>
  <si>
    <t>CS.IKOMALOKI</t>
  </si>
  <si>
    <t>Eglise des saints</t>
  </si>
  <si>
    <t>CS. BOSANGO</t>
  </si>
  <si>
    <t>Banga Nzambe</t>
  </si>
  <si>
    <t>CS BOMOI</t>
  </si>
  <si>
    <t>CSR YALUSAKA</t>
  </si>
  <si>
    <t>CS NGOSEKI</t>
  </si>
  <si>
    <t>HGR MONDOMBE</t>
  </si>
  <si>
    <t>CS TOPOKE</t>
  </si>
  <si>
    <t>CS YANSEKA</t>
  </si>
  <si>
    <t>CS CEDIMO</t>
  </si>
  <si>
    <t>CS YALOMBOKA</t>
  </si>
  <si>
    <t>CS BISOKE</t>
  </si>
  <si>
    <t>LIBULA FRERE THEO</t>
  </si>
  <si>
    <t>LIFUTU MARIE</t>
  </si>
  <si>
    <t>BESAU LONGOLA</t>
  </si>
  <si>
    <t>BANGA NZAMBE/ EKANGA</t>
  </si>
  <si>
    <t>BOFOKO NKASI</t>
  </si>
  <si>
    <t>LOSAKA LOSAKA</t>
  </si>
  <si>
    <t>EPOUSE YAWETA/ TOPOKE</t>
  </si>
  <si>
    <r>
      <rPr>
        <b/>
        <sz val="11"/>
        <color theme="1"/>
        <rFont val="Times New Roman"/>
        <charset val="134"/>
      </rPr>
      <t xml:space="preserve">BOKELE </t>
    </r>
    <r>
      <rPr>
        <b/>
        <sz val="11"/>
        <color theme="1"/>
        <rFont val="Times New Roman"/>
        <charset val="134"/>
      </rPr>
      <t xml:space="preserve"> </t>
    </r>
    <r>
      <rPr>
        <b/>
        <sz val="11"/>
        <color theme="1"/>
        <rFont val="Times New Roman"/>
        <charset val="134"/>
      </rPr>
      <t>KOLO/YONGOLI</t>
    </r>
  </si>
  <si>
    <t>BUTU MOYI</t>
  </si>
  <si>
    <t>BANGA NZAMBE YANYANGOMBULA</t>
  </si>
  <si>
    <t>EGLISE CATHOLIQUE BOSAA</t>
  </si>
  <si>
    <t>EPOUSE ENYATA NYATA</t>
  </si>
  <si>
    <t>LIBULA YOSAMBA</t>
  </si>
  <si>
    <t>BANGA NZAMBE YOLINGOLI</t>
  </si>
  <si>
    <t>BANGA NZAMBE YALOKENGE</t>
  </si>
  <si>
    <t>HGR YALIFAFU</t>
  </si>
  <si>
    <t>Post de santé BOTUNA</t>
  </si>
  <si>
    <t>Post de santé Yampembe</t>
  </si>
  <si>
    <t>BOKOTA</t>
  </si>
  <si>
    <t>Post de santé Lisala I</t>
  </si>
  <si>
    <t>Post de santé Isongo</t>
  </si>
  <si>
    <t>BONGEMBA</t>
  </si>
  <si>
    <t>Post de santé Yalofandje</t>
  </si>
  <si>
    <t>Post de santé tooko</t>
  </si>
  <si>
    <t>EFEKOLA</t>
  </si>
  <si>
    <t>Post de santé yangolu</t>
  </si>
  <si>
    <t>Post de santé Boleke</t>
  </si>
  <si>
    <t>EKOMBE</t>
  </si>
  <si>
    <t>Post de santé yazonga</t>
  </si>
  <si>
    <t>Post de santé esambo</t>
  </si>
  <si>
    <t>ELAKA</t>
  </si>
  <si>
    <t>Post de santé yalokuli</t>
  </si>
  <si>
    <t>Post de santé limandja</t>
  </si>
  <si>
    <t>ISANGA</t>
  </si>
  <si>
    <t>Post de santé bensombe</t>
  </si>
  <si>
    <t>Post de santé yalifala</t>
  </si>
  <si>
    <t>Post de santé yalifanga</t>
  </si>
  <si>
    <t>Post de santé yampembe</t>
  </si>
  <si>
    <t>LISANGA</t>
  </si>
  <si>
    <t>Post de santé lokola</t>
  </si>
  <si>
    <t>Post de santé ikungu</t>
  </si>
  <si>
    <t>LOTULO</t>
  </si>
  <si>
    <t>Post de santé limpinga</t>
  </si>
  <si>
    <t>MOMBOYO</t>
  </si>
  <si>
    <t>Post de santé yolengo</t>
  </si>
  <si>
    <t>NONKOY</t>
  </si>
  <si>
    <t>Post de santé bokwankoso</t>
  </si>
  <si>
    <t>WAMBA</t>
  </si>
  <si>
    <t>Post de santé yamputsu</t>
  </si>
  <si>
    <t>YALIKOMBA</t>
  </si>
  <si>
    <t>Post de santé yofala</t>
  </si>
  <si>
    <t>YALIO</t>
  </si>
  <si>
    <t>Post de santé yoloko</t>
  </si>
  <si>
    <t>YALOSAMBO</t>
  </si>
  <si>
    <t>Post de santé bokakama</t>
  </si>
  <si>
    <t>YALOSOY</t>
  </si>
  <si>
    <t>Post de santé yalisanga</t>
  </si>
  <si>
    <t>YANGAMBO</t>
  </si>
  <si>
    <t>Post de santé mongando</t>
  </si>
  <si>
    <t>YANSAU</t>
  </si>
  <si>
    <t>Post de santé lolingo</t>
  </si>
  <si>
    <t>YOKELELU</t>
  </si>
  <si>
    <t>Post de santé losanganya</t>
  </si>
  <si>
    <t>YOLOKO</t>
  </si>
  <si>
    <t>Post de santé yalosoy</t>
  </si>
  <si>
    <t>YONGONDA</t>
  </si>
  <si>
    <t>Post de santé ntoma</t>
  </si>
  <si>
    <t>Post de santé bonkeli</t>
  </si>
  <si>
    <t>Post de santé yafala</t>
  </si>
  <si>
    <t>Post de santé botende ngonda</t>
  </si>
  <si>
    <t>Post de santé Bontula</t>
  </si>
  <si>
    <t>Post de santé yamongela</t>
  </si>
  <si>
    <t>HGR MOMPONO</t>
  </si>
  <si>
    <t>CS EKEMBELA</t>
  </si>
  <si>
    <t>EKUKOLA CS</t>
  </si>
  <si>
    <t>CADELU/MOMPONO</t>
  </si>
  <si>
    <t>CS DJOMBO</t>
  </si>
  <si>
    <t>POSTE DE SANTE TOKOKA</t>
  </si>
  <si>
    <t>ND</t>
  </si>
  <si>
    <t>CS LIKUNDUAMBA</t>
  </si>
  <si>
    <t>POSTE DE SANTE BOKUTOLA PLA</t>
  </si>
  <si>
    <t>CS LIFANGA</t>
  </si>
  <si>
    <t>POSTE DE SANTE LIKANKE</t>
  </si>
  <si>
    <t>CS ILOLO</t>
  </si>
  <si>
    <t>POSTE DE SANTE BOKENDA</t>
  </si>
  <si>
    <t>CS IKELA</t>
  </si>
  <si>
    <t>POSTE DE SANTE MOMA</t>
  </si>
  <si>
    <t>CS ESANGANI</t>
  </si>
  <si>
    <r>
      <rPr>
        <sz val="11"/>
        <color theme="1"/>
        <rFont val="Calibri"/>
        <charset val="134"/>
        <scheme val="minor"/>
      </rPr>
      <t xml:space="preserve"> </t>
    </r>
    <r>
      <rPr>
        <sz val="11"/>
        <color theme="1"/>
        <rFont val="Calibri"/>
        <charset val="134"/>
      </rPr>
      <t>POSTE DE SANTE BINGORI</t>
    </r>
  </si>
  <si>
    <t>CS YAKAA</t>
  </si>
  <si>
    <t>POSTE DE SANTE EKOKA</t>
  </si>
  <si>
    <r>
      <rPr>
        <sz val="11"/>
        <color theme="1"/>
        <rFont val="Calibri"/>
        <charset val="134"/>
        <scheme val="minor"/>
      </rPr>
      <t xml:space="preserve"> </t>
    </r>
    <r>
      <rPr>
        <sz val="11"/>
        <color theme="1"/>
        <rFont val="Calibri"/>
        <charset val="134"/>
      </rPr>
      <t>POSTE DE SANTE LOFEMBA</t>
    </r>
  </si>
  <si>
    <t>POSTE DE SANTE YAAMA</t>
  </si>
  <si>
    <t>POSTE DE SANTE YAMBOYO</t>
  </si>
  <si>
    <t>POSTE DE SANTE MODJE</t>
  </si>
  <si>
    <t>EKUMBA</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</si>
</sst>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3" formatCode="_-* #,##0.00_-;\-* #,##0.00_-;_-* &quot;-&quot;??_-;_-@_-"/>
    <numFmt numFmtId="176" formatCode="_-&quot;€&quot;* #,##0.00_-;\-&quot;€&quot;* #,##0.00_-;_-&quot;€&quot;* \-??_-;_-@_-"/>
    <numFmt numFmtId="177" formatCode="_-&quot;€&quot;* #,##0_-;\-&quot;€&quot;* #,##0_-;_-&quot;€&quot;* \-_-;_-@_-"/>
    <numFmt numFmtId="178" formatCode="0_ "/>
    <numFmt numFmtId="179" formatCode="0.00000000"/>
  </numFmts>
  <fonts count="43">
    <font>
      <sz val="11"/>
      <color theme="1"/>
      <name val="Calibri"/>
      <charset val="134"/>
      <scheme val="minor"/>
    </font>
    <font>
      <b/>
      <sz val="14"/>
      <color theme="1"/>
      <name val="Calibri"/>
      <charset val="134"/>
      <scheme val="minor"/>
    </font>
    <font>
      <b/>
      <sz val="11"/>
      <color theme="4" tint="-0.249977111117893"/>
      <name val="Calibri"/>
      <charset val="134"/>
      <scheme val="minor"/>
    </font>
    <font>
      <sz val="11"/>
      <color theme="4" tint="-0.499984740745262"/>
      <name val="Calibri"/>
      <charset val="134"/>
      <scheme val="minor"/>
    </font>
    <font>
      <b/>
      <sz val="11"/>
      <color theme="1"/>
      <name val="Calibri"/>
      <charset val="134"/>
      <scheme val="minor"/>
    </font>
    <font>
      <sz val="11"/>
      <color rgb="FF000000"/>
      <name val="Times New Roman"/>
      <charset val="134"/>
    </font>
    <font>
      <sz val="11"/>
      <color theme="1"/>
      <name val="Times New Roman"/>
      <charset val="134"/>
    </font>
    <font>
      <b/>
      <sz val="11"/>
      <color theme="1"/>
      <name val="Times New Roman"/>
      <charset val="134"/>
    </font>
    <font>
      <sz val="11"/>
      <color rgb="FF000000"/>
      <name val="Calibri"/>
      <charset val="134"/>
      <scheme val="minor"/>
    </font>
    <font>
      <b/>
      <sz val="11"/>
      <color rgb="FF000000"/>
      <name val="Calibri"/>
      <charset val="134"/>
      <scheme val="minor"/>
    </font>
    <font>
      <sz val="11"/>
      <color theme="1"/>
      <name val="Calibri"/>
      <charset val="134"/>
    </font>
    <font>
      <b/>
      <sz val="11"/>
      <color theme="0"/>
      <name val="Calibri"/>
      <charset val="134"/>
    </font>
    <font>
      <b/>
      <sz val="11"/>
      <color rgb="FFFFFFFF"/>
      <name val="Calibri"/>
      <charset val="134"/>
    </font>
    <font>
      <b/>
      <sz val="11"/>
      <color rgb="FF000000"/>
      <name val="Calibri"/>
      <charset val="134"/>
    </font>
    <font>
      <b/>
      <sz val="11"/>
      <color theme="0"/>
      <name val="Calibri"/>
      <charset val="134"/>
      <scheme val="minor"/>
    </font>
    <font>
      <b/>
      <sz val="11"/>
      <color theme="1"/>
      <name val="SimSun"/>
      <charset val="134"/>
    </font>
    <font>
      <sz val="11"/>
      <color theme="1"/>
      <name val="SimSun"/>
      <charset val="134"/>
    </font>
    <font>
      <sz val="16"/>
      <color theme="1"/>
      <name val="Calibri"/>
      <charset val="134"/>
      <scheme val="minor"/>
    </font>
    <font>
      <b/>
      <sz val="14"/>
      <color theme="4" tint="-0.499984740745262"/>
      <name val="Calibri"/>
      <charset val="134"/>
      <scheme val="minor"/>
    </font>
    <font>
      <sz val="10"/>
      <name val="Arial"/>
      <charset val="134"/>
    </font>
    <font>
      <b/>
      <sz val="12"/>
      <color theme="4" tint="-0.499984740745262"/>
      <name val="Calibri"/>
      <charset val="134"/>
      <scheme val="minor"/>
    </font>
    <font>
      <b/>
      <sz val="11"/>
      <color rgb="FF0070C0"/>
      <name val="Times New Roman"/>
      <charset val="134"/>
    </font>
    <font>
      <b/>
      <sz val="11"/>
      <color theme="4" tint="-0.499984740745262"/>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3">
    <fill>
      <patternFill patternType="none"/>
    </fill>
    <fill>
      <patternFill patternType="gray125"/>
    </fill>
    <fill>
      <patternFill patternType="solid">
        <fgColor theme="4" tint="0.799951170384838"/>
        <bgColor theme="4" tint="0.799951170384838"/>
      </patternFill>
    </fill>
    <fill>
      <patternFill patternType="solid">
        <fgColor rgb="FFFFFF00"/>
        <bgColor indexed="64"/>
      </patternFill>
    </fill>
    <fill>
      <patternFill patternType="solid">
        <fgColor rgb="FF00B050"/>
        <bgColor indexed="64"/>
      </patternFill>
    </fill>
    <fill>
      <patternFill patternType="solid">
        <fgColor rgb="FF5B9BD5"/>
        <bgColor rgb="FF5B9BD5"/>
      </patternFill>
    </fill>
    <fill>
      <patternFill patternType="solid">
        <fgColor rgb="FFDDEBF7"/>
        <bgColor rgb="FFDDEBF7"/>
      </patternFill>
    </fill>
    <fill>
      <patternFill patternType="solid">
        <fgColor theme="8"/>
        <bgColor indexed="64"/>
      </patternFill>
    </fill>
    <fill>
      <patternFill patternType="solid">
        <fgColor rgb="FF00B0F0"/>
        <bgColor indexed="64"/>
      </patternFill>
    </fill>
    <fill>
      <patternFill patternType="solid">
        <fgColor rgb="FF0070C0"/>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rgb="FF7030A0"/>
        <bgColor indexed="64"/>
      </patternFill>
    </fill>
    <fill>
      <patternFill patternType="solid">
        <fgColor theme="8" tint="-0.249977111117893"/>
        <bgColor indexed="64"/>
      </patternFill>
    </fill>
    <fill>
      <patternFill patternType="solid">
        <fgColor theme="0" tint="-0.0499893185216834"/>
        <bgColor theme="4" tint="0.799951170384838"/>
      </patternFill>
    </fill>
    <fill>
      <patternFill patternType="solid">
        <fgColor theme="0" tint="-0.149998474074526"/>
        <bgColor theme="4" tint="0.799951170384838"/>
      </patternFill>
    </fill>
    <fill>
      <patternFill patternType="solid">
        <fgColor theme="0" tint="-0.249977111117893"/>
        <bgColor theme="4" tint="0.799951170384838"/>
      </patternFill>
    </fill>
    <fill>
      <patternFill patternType="solid">
        <fgColor theme="0" tint="-0.349986266670736"/>
        <bgColor theme="4" tint="0.799951170384838"/>
      </patternFill>
    </fill>
    <fill>
      <patternFill patternType="solid">
        <fgColor theme="4"/>
        <bgColor theme="4"/>
      </patternFill>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hair">
        <color theme="4" tint="0.399975585192419"/>
      </left>
      <right style="hair">
        <color theme="4" tint="0.399975585192419"/>
      </right>
      <top style="hair">
        <color theme="4" tint="0.399975585192419"/>
      </top>
      <bottom style="hair">
        <color theme="4" tint="0.399975585192419"/>
      </bottom>
      <diagonal/>
    </border>
    <border>
      <left/>
      <right/>
      <top style="thin">
        <color theme="4"/>
      </top>
      <bottom style="medium">
        <color theme="4"/>
      </bottom>
      <diagonal/>
    </border>
    <border>
      <left/>
      <right/>
      <top style="medium">
        <color theme="4"/>
      </top>
      <bottom/>
      <diagonal/>
    </border>
    <border>
      <left/>
      <right/>
      <top/>
      <bottom style="thin">
        <color theme="4"/>
      </bottom>
      <diagonal/>
    </border>
    <border>
      <left style="thin">
        <color auto="1"/>
      </left>
      <right style="thin">
        <color auto="1"/>
      </right>
      <top style="thin">
        <color auto="1"/>
      </top>
      <bottom style="thin">
        <color auto="1"/>
      </bottom>
      <diagonal/>
    </border>
    <border>
      <left style="thin">
        <color rgb="FF5B9BD5"/>
      </left>
      <right/>
      <top style="thin">
        <color rgb="FF5B9BD5"/>
      </top>
      <bottom/>
      <diagonal/>
    </border>
    <border>
      <left/>
      <right/>
      <top style="thin">
        <color rgb="FF5B9BD5"/>
      </top>
      <bottom/>
      <diagonal/>
    </border>
    <border>
      <left/>
      <right style="thin">
        <color rgb="FF5B9BD5"/>
      </right>
      <top style="thin">
        <color rgb="FF5B9BD5"/>
      </top>
      <bottom/>
      <diagonal/>
    </border>
    <border>
      <left style="thin">
        <color rgb="FF5B9BD5"/>
      </left>
      <right/>
      <top/>
      <bottom/>
      <diagonal/>
    </border>
    <border>
      <left/>
      <right style="thin">
        <color rgb="FF5B9BD5"/>
      </right>
      <top/>
      <bottom/>
      <diagonal/>
    </border>
    <border>
      <left/>
      <right/>
      <top style="thin">
        <color theme="4"/>
      </top>
      <bottom/>
      <diagonal/>
    </border>
    <border>
      <left style="thin">
        <color theme="4" tint="0.599993896298105"/>
      </left>
      <right style="thin">
        <color theme="4" tint="0.599993896298105"/>
      </right>
      <top style="thin">
        <color theme="4" tint="0.599993896298105"/>
      </top>
      <bottom style="thin">
        <color theme="4" tint="0.599993896298105"/>
      </bottom>
      <diagonal/>
    </border>
    <border>
      <left/>
      <right/>
      <top/>
      <bottom style="thin">
        <color theme="4" tint="0.599993896298105"/>
      </bottom>
      <diagonal/>
    </border>
    <border>
      <left/>
      <right/>
      <top style="hair">
        <color auto="1"/>
      </top>
      <bottom style="hair">
        <color theme="4" tint="0.599993896298105"/>
      </bottom>
      <diagonal/>
    </border>
    <border>
      <left style="thin">
        <color theme="4"/>
      </left>
      <right/>
      <top style="thin">
        <color theme="4"/>
      </top>
      <bottom/>
      <diagonal/>
    </border>
    <border>
      <left/>
      <right style="thin">
        <color theme="4"/>
      </right>
      <top style="thin">
        <color theme="4"/>
      </top>
      <bottom/>
      <diagonal/>
    </border>
    <border>
      <left style="thin">
        <color theme="4"/>
      </left>
      <right/>
      <top/>
      <bottom/>
      <diagonal/>
    </border>
    <border>
      <left/>
      <right style="thin">
        <color theme="4"/>
      </right>
      <top/>
      <bottom/>
      <diagonal/>
    </border>
    <border>
      <left style="thin">
        <color theme="4"/>
      </left>
      <right/>
      <top/>
      <bottom style="thin">
        <color theme="4"/>
      </bottom>
      <diagonal/>
    </border>
    <border>
      <left/>
      <right style="thin">
        <color theme="4"/>
      </right>
      <top/>
      <bottom style="thin">
        <color theme="4"/>
      </bottom>
      <diagonal/>
    </border>
    <border>
      <left style="hair">
        <color theme="4"/>
      </left>
      <right style="hair">
        <color theme="4"/>
      </right>
      <top style="hair">
        <color theme="4"/>
      </top>
      <bottom style="hair">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23"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22" borderId="22"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23" applyNumberFormat="0" applyFill="0" applyAlignment="0" applyProtection="0">
      <alignment vertical="center"/>
    </xf>
    <xf numFmtId="0" fontId="30" fillId="0" borderId="23" applyNumberFormat="0" applyFill="0" applyAlignment="0" applyProtection="0">
      <alignment vertical="center"/>
    </xf>
    <xf numFmtId="0" fontId="31" fillId="0" borderId="24" applyNumberFormat="0" applyFill="0" applyAlignment="0" applyProtection="0">
      <alignment vertical="center"/>
    </xf>
    <xf numFmtId="0" fontId="31" fillId="0" borderId="0" applyNumberFormat="0" applyFill="0" applyBorder="0" applyAlignment="0" applyProtection="0">
      <alignment vertical="center"/>
    </xf>
    <xf numFmtId="0" fontId="32" fillId="23" borderId="25" applyNumberFormat="0" applyAlignment="0" applyProtection="0">
      <alignment vertical="center"/>
    </xf>
    <xf numFmtId="0" fontId="33" fillId="24" borderId="26" applyNumberFormat="0" applyAlignment="0" applyProtection="0">
      <alignment vertical="center"/>
    </xf>
    <xf numFmtId="0" fontId="34" fillId="24" borderId="25" applyNumberFormat="0" applyAlignment="0" applyProtection="0">
      <alignment vertical="center"/>
    </xf>
    <xf numFmtId="0" fontId="35" fillId="25" borderId="27" applyNumberFormat="0" applyAlignment="0" applyProtection="0">
      <alignment vertical="center"/>
    </xf>
    <xf numFmtId="0" fontId="36" fillId="0" borderId="28" applyNumberFormat="0" applyFill="0" applyAlignment="0" applyProtection="0">
      <alignment vertical="center"/>
    </xf>
    <xf numFmtId="0" fontId="37" fillId="0" borderId="29" applyNumberFormat="0" applyFill="0" applyAlignment="0" applyProtection="0">
      <alignment vertical="center"/>
    </xf>
    <xf numFmtId="0" fontId="38" fillId="26" borderId="0" applyNumberFormat="0" applyBorder="0" applyAlignment="0" applyProtection="0">
      <alignment vertical="center"/>
    </xf>
    <xf numFmtId="0" fontId="39" fillId="27" borderId="0" applyNumberFormat="0" applyBorder="0" applyAlignment="0" applyProtection="0">
      <alignment vertical="center"/>
    </xf>
    <xf numFmtId="0" fontId="40" fillId="28" borderId="0" applyNumberFormat="0" applyBorder="0" applyAlignment="0" applyProtection="0">
      <alignment vertical="center"/>
    </xf>
    <xf numFmtId="0" fontId="41"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2" fillId="34" borderId="0" applyNumberFormat="0" applyBorder="0" applyAlignment="0" applyProtection="0">
      <alignment vertical="center"/>
    </xf>
    <xf numFmtId="0" fontId="42" fillId="35" borderId="0" applyNumberFormat="0" applyBorder="0" applyAlignment="0" applyProtection="0">
      <alignment vertical="center"/>
    </xf>
    <xf numFmtId="0" fontId="41" fillId="36" borderId="0" applyNumberFormat="0" applyBorder="0" applyAlignment="0" applyProtection="0">
      <alignment vertical="center"/>
    </xf>
    <xf numFmtId="0" fontId="41" fillId="37" borderId="0" applyNumberFormat="0" applyBorder="0" applyAlignment="0" applyProtection="0">
      <alignment vertical="center"/>
    </xf>
    <xf numFmtId="0" fontId="42" fillId="38" borderId="0" applyNumberFormat="0" applyBorder="0" applyAlignment="0" applyProtection="0">
      <alignment vertical="center"/>
    </xf>
    <xf numFmtId="0" fontId="42" fillId="39" borderId="0" applyNumberFormat="0" applyBorder="0" applyAlignment="0" applyProtection="0">
      <alignment vertical="center"/>
    </xf>
    <xf numFmtId="0" fontId="41" fillId="40" borderId="0" applyNumberFormat="0" applyBorder="0" applyAlignment="0" applyProtection="0">
      <alignment vertical="center"/>
    </xf>
    <xf numFmtId="0" fontId="41" fillId="41" borderId="0" applyNumberFormat="0" applyBorder="0" applyAlignment="0" applyProtection="0">
      <alignment vertical="center"/>
    </xf>
    <xf numFmtId="0" fontId="42" fillId="42" borderId="0" applyNumberFormat="0" applyBorder="0" applyAlignment="0" applyProtection="0">
      <alignment vertical="center"/>
    </xf>
    <xf numFmtId="0" fontId="42" fillId="43" borderId="0" applyNumberFormat="0" applyBorder="0" applyAlignment="0" applyProtection="0">
      <alignment vertical="center"/>
    </xf>
    <xf numFmtId="0" fontId="41" fillId="44" borderId="0" applyNumberFormat="0" applyBorder="0" applyAlignment="0" applyProtection="0">
      <alignment vertical="center"/>
    </xf>
    <xf numFmtId="0" fontId="41" fillId="45" borderId="0" applyNumberFormat="0" applyBorder="0" applyAlignment="0" applyProtection="0">
      <alignment vertical="center"/>
    </xf>
    <xf numFmtId="0" fontId="42" fillId="46" borderId="0" applyNumberFormat="0" applyBorder="0" applyAlignment="0" applyProtection="0">
      <alignment vertical="center"/>
    </xf>
    <xf numFmtId="0" fontId="42" fillId="47" borderId="0" applyNumberFormat="0" applyBorder="0" applyAlignment="0" applyProtection="0">
      <alignment vertical="center"/>
    </xf>
    <xf numFmtId="0" fontId="41" fillId="48" borderId="0" applyNumberFormat="0" applyBorder="0" applyAlignment="0" applyProtection="0">
      <alignment vertical="center"/>
    </xf>
    <xf numFmtId="0" fontId="41" fillId="49" borderId="0" applyNumberFormat="0" applyBorder="0" applyAlignment="0" applyProtection="0">
      <alignment vertical="center"/>
    </xf>
    <xf numFmtId="0" fontId="42" fillId="50" borderId="0" applyNumberFormat="0" applyBorder="0" applyAlignment="0" applyProtection="0">
      <alignment vertical="center"/>
    </xf>
    <xf numFmtId="0" fontId="42" fillId="51" borderId="0" applyNumberFormat="0" applyBorder="0" applyAlignment="0" applyProtection="0">
      <alignment vertical="center"/>
    </xf>
    <xf numFmtId="0" fontId="41" fillId="52" borderId="0" applyNumberFormat="0" applyBorder="0" applyAlignment="0" applyProtection="0">
      <alignment vertical="center"/>
    </xf>
    <xf numFmtId="0" fontId="23" fillId="0" borderId="0"/>
  </cellStyleXfs>
  <cellXfs count="225">
    <xf numFmtId="0" fontId="0" fillId="0" borderId="0" xfId="0">
      <alignment vertical="center"/>
    </xf>
    <xf numFmtId="0" fontId="0" fillId="0" borderId="0" xfId="0" applyAlignment="1">
      <alignment vertical="top"/>
    </xf>
    <xf numFmtId="0" fontId="0" fillId="0" borderId="0" xfId="0" applyAlignment="1">
      <alignment horizontal="center" vertical="top"/>
    </xf>
    <xf numFmtId="0" fontId="1" fillId="0" borderId="0" xfId="0" applyFont="1" applyAlignment="1">
      <alignment horizontal="center" vertical="top"/>
    </xf>
    <xf numFmtId="0" fontId="2" fillId="0" borderId="1" xfId="0" applyFont="1" applyFill="1" applyBorder="1" applyAlignment="1">
      <alignment horizontal="center" vertical="center" wrapText="1"/>
    </xf>
    <xf numFmtId="0" fontId="3"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3" fillId="0" borderId="1" xfId="0" applyFont="1" applyFill="1" applyBorder="1" applyAlignment="1">
      <alignment vertical="center" wrapText="1"/>
    </xf>
    <xf numFmtId="0" fontId="3" fillId="0" borderId="1" xfId="0" applyFont="1" applyFill="1" applyBorder="1" applyAlignment="1">
      <alignment horizontal="center" vertical="center" wrapText="1"/>
    </xf>
    <xf numFmtId="9" fontId="3" fillId="2" borderId="1" xfId="0" applyNumberFormat="1" applyFont="1" applyFill="1" applyBorder="1" applyAlignment="1">
      <alignment horizontal="center" vertical="center" wrapText="1"/>
    </xf>
    <xf numFmtId="9" fontId="3" fillId="0" borderId="1" xfId="0" applyNumberFormat="1" applyFont="1" applyFill="1" applyBorder="1" applyAlignment="1">
      <alignment horizontal="center" vertical="center" wrapText="1"/>
    </xf>
    <xf numFmtId="9" fontId="3" fillId="0" borderId="1" xfId="0" applyNumberFormat="1" applyFont="1" applyFill="1" applyBorder="1" applyAlignment="1">
      <alignment vertical="center" wrapText="1"/>
    </xf>
    <xf numFmtId="10" fontId="3" fillId="2" borderId="1" xfId="0" applyNumberFormat="1" applyFont="1" applyFill="1" applyBorder="1" applyAlignment="1">
      <alignment horizontal="center" vertical="center" wrapText="1"/>
    </xf>
    <xf numFmtId="10" fontId="3" fillId="0" borderId="1" xfId="0" applyNumberFormat="1" applyFont="1" applyFill="1" applyBorder="1" applyAlignment="1">
      <alignment horizontal="center" vertical="center" wrapText="1"/>
    </xf>
    <xf numFmtId="9" fontId="3" fillId="2" borderId="1" xfId="0" applyNumberFormat="1" applyFont="1" applyFill="1" applyBorder="1" applyAlignment="1">
      <alignment vertical="center" wrapText="1"/>
    </xf>
    <xf numFmtId="9" fontId="0" fillId="0" borderId="0" xfId="0" applyNumberFormat="1" applyFont="1" applyFill="1" applyAlignment="1">
      <alignment horizontal="center" vertical="center" wrapText="1"/>
    </xf>
    <xf numFmtId="0" fontId="4" fillId="0" borderId="0" xfId="0" applyFont="1" applyAlignment="1">
      <alignment vertical="center" wrapText="1"/>
    </xf>
    <xf numFmtId="0" fontId="0" fillId="0" borderId="0" xfId="0" applyAlignment="1">
      <alignment vertical="center" wrapText="1"/>
    </xf>
    <xf numFmtId="0" fontId="2" fillId="0" borderId="2" xfId="0" applyFont="1" applyFill="1" applyBorder="1" applyAlignment="1">
      <alignment horizontal="center" vertical="top" wrapText="1"/>
    </xf>
    <xf numFmtId="0" fontId="3" fillId="2" borderId="3" xfId="0" applyFont="1" applyFill="1" applyBorder="1" applyAlignment="1">
      <alignment horizontal="left" vertical="top" wrapText="1"/>
    </xf>
    <xf numFmtId="0" fontId="3" fillId="2" borderId="3" xfId="0" applyFont="1" applyFill="1" applyBorder="1" applyAlignment="1">
      <alignment vertical="top" wrapText="1"/>
    </xf>
    <xf numFmtId="0" fontId="3" fillId="2" borderId="3" xfId="0" applyFont="1" applyFill="1" applyBorder="1" applyAlignment="1">
      <alignment horizontal="center" vertical="top" wrapText="1"/>
    </xf>
    <xf numFmtId="0" fontId="3" fillId="2" borderId="0" xfId="0" applyFont="1" applyFill="1" applyAlignment="1">
      <alignment horizontal="left" vertical="top" wrapText="1"/>
    </xf>
    <xf numFmtId="0" fontId="3" fillId="0" borderId="0" xfId="0" applyFont="1" applyFill="1" applyBorder="1" applyAlignment="1">
      <alignment vertical="top" wrapText="1"/>
    </xf>
    <xf numFmtId="0" fontId="3" fillId="0" borderId="0" xfId="0" applyFont="1" applyFill="1" applyBorder="1" applyAlignment="1">
      <alignment horizontal="center" vertical="top" wrapText="1"/>
    </xf>
    <xf numFmtId="0" fontId="3" fillId="2" borderId="0" xfId="0" applyFont="1" applyFill="1" applyBorder="1" applyAlignment="1">
      <alignment vertical="top" wrapText="1"/>
    </xf>
    <xf numFmtId="0" fontId="3" fillId="2" borderId="0" xfId="0" applyFont="1" applyFill="1" applyBorder="1" applyAlignment="1">
      <alignment horizontal="center" vertical="top" wrapText="1"/>
    </xf>
    <xf numFmtId="0" fontId="3" fillId="0" borderId="0" xfId="0" applyFont="1" applyFill="1" applyAlignment="1">
      <alignment horizontal="left" vertical="top" wrapText="1"/>
    </xf>
    <xf numFmtId="0" fontId="3" fillId="2" borderId="4" xfId="0" applyFont="1" applyFill="1" applyBorder="1" applyAlignment="1">
      <alignment horizontal="left" vertical="top" wrapText="1"/>
    </xf>
    <xf numFmtId="0" fontId="3" fillId="2" borderId="4" xfId="0" applyFont="1" applyFill="1" applyBorder="1" applyAlignment="1">
      <alignment vertical="top" wrapText="1"/>
    </xf>
    <xf numFmtId="0" fontId="3" fillId="2" borderId="4" xfId="0" applyFont="1" applyFill="1" applyBorder="1" applyAlignment="1">
      <alignment horizontal="center" vertical="top" wrapText="1"/>
    </xf>
    <xf numFmtId="0" fontId="1" fillId="0" borderId="5" xfId="0" applyFont="1" applyFill="1" applyBorder="1" applyAlignment="1">
      <alignment vertical="top"/>
    </xf>
    <xf numFmtId="0" fontId="0" fillId="3" borderId="5" xfId="0" applyFont="1" applyFill="1" applyBorder="1" applyAlignment="1">
      <alignment vertical="top"/>
    </xf>
    <xf numFmtId="0" fontId="5" fillId="3" borderId="5" xfId="0" applyFont="1" applyFill="1" applyBorder="1" applyAlignment="1">
      <alignment horizontal="justify" vertical="top" wrapText="1"/>
    </xf>
    <xf numFmtId="0" fontId="0" fillId="0" borderId="5" xfId="0" applyFont="1" applyFill="1" applyBorder="1" applyAlignment="1">
      <alignment vertical="top"/>
    </xf>
    <xf numFmtId="0" fontId="5" fillId="0" borderId="5" xfId="0" applyFont="1" applyFill="1" applyBorder="1" applyAlignment="1">
      <alignment horizontal="justify" vertical="top" wrapText="1"/>
    </xf>
    <xf numFmtId="0" fontId="6" fillId="0" borderId="5" xfId="0" applyFont="1" applyFill="1" applyBorder="1" applyAlignment="1">
      <alignment horizontal="justify" vertical="top" wrapText="1"/>
    </xf>
    <xf numFmtId="0" fontId="7" fillId="3" borderId="5" xfId="0" applyFont="1" applyFill="1" applyBorder="1" applyAlignment="1">
      <alignment horizontal="justify" vertical="top" wrapText="1"/>
    </xf>
    <xf numFmtId="0" fontId="7" fillId="0" borderId="5" xfId="0" applyFont="1" applyFill="1" applyBorder="1" applyAlignment="1">
      <alignment horizontal="justify" vertical="top" wrapText="1"/>
    </xf>
    <xf numFmtId="0" fontId="4" fillId="0" borderId="5" xfId="0" applyFont="1" applyFill="1" applyBorder="1" applyAlignment="1">
      <alignment horizontal="justify" vertical="top" wrapText="1"/>
    </xf>
    <xf numFmtId="0" fontId="0" fillId="3" borderId="5" xfId="0" applyFont="1" applyFill="1" applyBorder="1" applyAlignment="1">
      <alignment horizontal="justify" vertical="top" wrapText="1"/>
    </xf>
    <xf numFmtId="0" fontId="0" fillId="0" borderId="5" xfId="0" applyFont="1" applyFill="1" applyBorder="1" applyAlignment="1">
      <alignment horizontal="justify" vertical="top" wrapText="1"/>
    </xf>
    <xf numFmtId="0" fontId="7" fillId="0" borderId="5" xfId="0" applyFont="1" applyFill="1" applyBorder="1" applyAlignment="1">
      <alignment horizontal="justify" vertical="top"/>
    </xf>
    <xf numFmtId="0" fontId="8" fillId="3" borderId="5" xfId="0" applyFont="1" applyFill="1" applyBorder="1" applyAlignment="1">
      <alignment horizontal="justify" vertical="top" wrapText="1"/>
    </xf>
    <xf numFmtId="0" fontId="7" fillId="3" borderId="5" xfId="0" applyFont="1" applyFill="1" applyBorder="1" applyAlignment="1">
      <alignment horizontal="justify" vertical="top"/>
    </xf>
    <xf numFmtId="0" fontId="8" fillId="0" borderId="5" xfId="0" applyFont="1" applyFill="1" applyBorder="1" applyAlignment="1">
      <alignment horizontal="justify" vertical="top" wrapText="1"/>
    </xf>
    <xf numFmtId="0" fontId="9" fillId="0" borderId="5" xfId="0" applyFont="1" applyFill="1" applyBorder="1" applyAlignment="1">
      <alignment horizontal="justify" vertical="top" wrapText="1"/>
    </xf>
    <xf numFmtId="0" fontId="4" fillId="3" borderId="5" xfId="0" applyFont="1" applyFill="1" applyBorder="1" applyAlignment="1">
      <alignment horizontal="justify" vertical="top" wrapText="1"/>
    </xf>
    <xf numFmtId="0" fontId="4" fillId="0" borderId="5" xfId="0" applyFont="1" applyFill="1" applyBorder="1" applyAlignment="1">
      <alignment horizontal="left" vertical="top" wrapText="1"/>
    </xf>
    <xf numFmtId="0" fontId="7" fillId="0" borderId="5" xfId="0" applyFont="1" applyFill="1" applyBorder="1" applyAlignment="1">
      <alignment horizontal="left" vertical="top" wrapText="1"/>
    </xf>
    <xf numFmtId="0" fontId="4" fillId="0" borderId="0" xfId="0" applyFont="1" applyFill="1" applyAlignment="1">
      <alignment horizontal="center"/>
    </xf>
    <xf numFmtId="0" fontId="0" fillId="0" borderId="0" xfId="0" applyFont="1" applyFill="1" applyAlignment="1"/>
    <xf numFmtId="0" fontId="10" fillId="0" borderId="0" xfId="0" applyFont="1" applyFill="1" applyAlignment="1">
      <alignment vertical="center"/>
    </xf>
    <xf numFmtId="0" fontId="11" fillId="4" borderId="0" xfId="0" applyFont="1" applyFill="1" applyAlignment="1">
      <alignment horizontal="center" vertical="center"/>
    </xf>
    <xf numFmtId="0" fontId="10" fillId="0" borderId="0" xfId="0" applyFont="1" applyFill="1" applyAlignment="1">
      <alignment vertical="center" wrapText="1"/>
    </xf>
    <xf numFmtId="0" fontId="12" fillId="5" borderId="6" xfId="0" applyFont="1" applyFill="1" applyBorder="1" applyAlignment="1">
      <alignment vertical="center" wrapText="1"/>
    </xf>
    <xf numFmtId="0" fontId="12" fillId="5" borderId="7" xfId="0" applyFont="1" applyFill="1" applyBorder="1" applyAlignment="1">
      <alignment vertical="center" wrapText="1"/>
    </xf>
    <xf numFmtId="0" fontId="12" fillId="5" borderId="8" xfId="0" applyFont="1" applyFill="1" applyBorder="1" applyAlignment="1">
      <alignment vertical="center" wrapText="1"/>
    </xf>
    <xf numFmtId="0" fontId="13" fillId="6" borderId="9" xfId="0" applyFont="1" applyFill="1" applyBorder="1" applyAlignment="1">
      <alignment vertical="center"/>
    </xf>
    <xf numFmtId="0" fontId="10" fillId="0" borderId="0" xfId="0" applyFont="1" applyFill="1" applyBorder="1" applyAlignment="1">
      <alignment vertical="center"/>
    </xf>
    <xf numFmtId="178" fontId="10" fillId="0" borderId="0" xfId="0" applyNumberFormat="1" applyFont="1" applyFill="1" applyBorder="1" applyAlignment="1">
      <alignment vertical="center"/>
    </xf>
    <xf numFmtId="0" fontId="10" fillId="0" borderId="10" xfId="0" applyFont="1" applyFill="1" applyBorder="1" applyAlignment="1">
      <alignment vertical="center"/>
    </xf>
    <xf numFmtId="178" fontId="13" fillId="6" borderId="9" xfId="0" applyNumberFormat="1" applyFont="1" applyFill="1" applyBorder="1" applyAlignment="1">
      <alignment vertical="center"/>
    </xf>
    <xf numFmtId="178" fontId="12" fillId="5" borderId="7" xfId="0" applyNumberFormat="1" applyFont="1" applyFill="1" applyBorder="1" applyAlignment="1">
      <alignment vertical="center" wrapText="1"/>
    </xf>
    <xf numFmtId="0" fontId="12" fillId="5" borderId="6" xfId="0" applyFont="1" applyFill="1" applyBorder="1" applyAlignment="1">
      <alignment vertical="center"/>
    </xf>
    <xf numFmtId="0" fontId="12" fillId="5" borderId="7" xfId="0" applyFont="1" applyFill="1" applyBorder="1" applyAlignment="1">
      <alignment vertical="center"/>
    </xf>
    <xf numFmtId="0" fontId="12" fillId="5" borderId="8" xfId="0" applyFont="1" applyFill="1" applyBorder="1" applyAlignment="1">
      <alignment vertical="center"/>
    </xf>
    <xf numFmtId="9" fontId="10" fillId="0" borderId="0" xfId="3" applyFont="1">
      <alignment vertical="center"/>
    </xf>
    <xf numFmtId="9" fontId="13" fillId="6" borderId="9" xfId="3" applyFont="1" applyFill="1" applyBorder="1">
      <alignment vertical="center"/>
    </xf>
    <xf numFmtId="9" fontId="12" fillId="5" borderId="8" xfId="3" applyFont="1" applyFill="1" applyBorder="1">
      <alignment vertical="center"/>
    </xf>
    <xf numFmtId="0" fontId="0" fillId="0" borderId="0" xfId="0" applyAlignment="1">
      <alignment vertical="center"/>
    </xf>
    <xf numFmtId="0" fontId="2" fillId="0" borderId="11" xfId="0" applyFont="1" applyFill="1" applyBorder="1">
      <alignment vertical="center"/>
    </xf>
    <xf numFmtId="0" fontId="2" fillId="0" borderId="11" xfId="0" applyFont="1" applyFill="1" applyBorder="1" applyAlignment="1">
      <alignment horizontal="center" vertical="center"/>
    </xf>
    <xf numFmtId="0" fontId="3" fillId="2" borderId="12" xfId="0" applyFont="1" applyFill="1" applyBorder="1" applyAlignment="1">
      <alignment horizontal="center" vertical="center" wrapText="1"/>
    </xf>
    <xf numFmtId="0" fontId="3" fillId="2" borderId="12" xfId="0" applyFont="1" applyFill="1" applyBorder="1" applyAlignment="1">
      <alignment vertical="center" wrapText="1"/>
    </xf>
    <xf numFmtId="0" fontId="0" fillId="0" borderId="13" xfId="0" applyBorder="1" applyAlignment="1">
      <alignment vertical="center" wrapText="1"/>
    </xf>
    <xf numFmtId="0" fontId="3" fillId="0" borderId="12" xfId="0" applyFont="1" applyFill="1" applyBorder="1" applyAlignment="1">
      <alignment horizontal="center" vertical="center" wrapText="1"/>
    </xf>
    <xf numFmtId="0" fontId="3" fillId="0" borderId="12" xfId="0" applyFont="1" applyFill="1" applyBorder="1" applyAlignment="1">
      <alignment vertical="center" wrapText="1"/>
    </xf>
    <xf numFmtId="178" fontId="3" fillId="0" borderId="12" xfId="0" applyNumberFormat="1" applyFont="1" applyFill="1" applyBorder="1" applyAlignment="1">
      <alignment horizontal="center" vertical="center" wrapText="1"/>
    </xf>
    <xf numFmtId="178" fontId="3" fillId="2" borderId="12" xfId="0" applyNumberFormat="1" applyFont="1" applyFill="1" applyBorder="1" applyAlignment="1">
      <alignment horizontal="center" vertical="center" wrapText="1"/>
    </xf>
    <xf numFmtId="0" fontId="0" fillId="0" borderId="14" xfId="0" applyBorder="1" applyAlignment="1">
      <alignment vertical="center" wrapText="1"/>
    </xf>
    <xf numFmtId="0" fontId="2" fillId="0" borderId="2"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14" fillId="8" borderId="2" xfId="0" applyFont="1" applyFill="1" applyBorder="1" applyAlignment="1">
      <alignment horizontal="center" vertical="center" wrapText="1"/>
    </xf>
    <xf numFmtId="0" fontId="14" fillId="9" borderId="2" xfId="0" applyFont="1" applyFill="1" applyBorder="1" applyAlignment="1">
      <alignment horizontal="center" vertical="center" wrapText="1"/>
    </xf>
    <xf numFmtId="0" fontId="3" fillId="2" borderId="3" xfId="0" applyFont="1" applyFill="1" applyBorder="1">
      <alignment vertical="center"/>
    </xf>
    <xf numFmtId="0" fontId="3" fillId="2" borderId="3" xfId="0" applyFont="1" applyFill="1" applyBorder="1" applyAlignment="1"/>
    <xf numFmtId="9" fontId="3" fillId="2" borderId="3" xfId="3" applyFont="1" applyFill="1" applyBorder="1">
      <alignment vertical="center"/>
    </xf>
    <xf numFmtId="178" fontId="3" fillId="2" borderId="3" xfId="0" applyNumberFormat="1" applyFont="1" applyFill="1" applyBorder="1">
      <alignment vertical="center"/>
    </xf>
    <xf numFmtId="0" fontId="3" fillId="2" borderId="3" xfId="0" applyFont="1" applyFill="1" applyBorder="1" applyAlignment="1">
      <alignment wrapText="1"/>
    </xf>
    <xf numFmtId="0" fontId="3" fillId="0" borderId="0" xfId="0" applyFont="1" applyFill="1" applyBorder="1">
      <alignment vertical="center"/>
    </xf>
    <xf numFmtId="0" fontId="3" fillId="0" borderId="0" xfId="0" applyFont="1" applyFill="1" applyBorder="1" applyAlignment="1"/>
    <xf numFmtId="9" fontId="3" fillId="0" borderId="0" xfId="3" applyFont="1" applyFill="1" applyBorder="1">
      <alignment vertical="center"/>
    </xf>
    <xf numFmtId="178" fontId="3" fillId="0" borderId="0" xfId="0" applyNumberFormat="1" applyFont="1" applyFill="1" applyBorder="1">
      <alignment vertical="center"/>
    </xf>
    <xf numFmtId="0" fontId="3" fillId="0" borderId="0" xfId="0" applyFont="1" applyFill="1" applyBorder="1" applyAlignment="1">
      <alignment wrapText="1"/>
    </xf>
    <xf numFmtId="0" fontId="3" fillId="2" borderId="0" xfId="0" applyFont="1" applyFill="1" applyBorder="1">
      <alignment vertical="center"/>
    </xf>
    <xf numFmtId="0" fontId="3" fillId="2" borderId="0" xfId="0" applyFont="1" applyFill="1" applyBorder="1" applyAlignment="1"/>
    <xf numFmtId="9" fontId="3" fillId="2" borderId="0" xfId="3" applyFont="1" applyFill="1" applyBorder="1">
      <alignment vertical="center"/>
    </xf>
    <xf numFmtId="178" fontId="3" fillId="2" borderId="0" xfId="0" applyNumberFormat="1" applyFont="1" applyFill="1" applyBorder="1">
      <alignment vertical="center"/>
    </xf>
    <xf numFmtId="0" fontId="3" fillId="2" borderId="0" xfId="0" applyFont="1" applyFill="1" applyBorder="1" applyAlignment="1">
      <alignment wrapText="1"/>
    </xf>
    <xf numFmtId="0" fontId="3" fillId="2" borderId="0" xfId="0" applyFont="1" applyFill="1" applyBorder="1" applyAlignment="1">
      <alignment horizontal="right" vertical="center"/>
    </xf>
    <xf numFmtId="0" fontId="3" fillId="0" borderId="0" xfId="0" applyFont="1" applyFill="1" applyBorder="1" applyAlignment="1">
      <alignment horizontal="right" vertical="center"/>
    </xf>
    <xf numFmtId="0" fontId="3" fillId="2" borderId="0" xfId="0" applyNumberFormat="1" applyFont="1" applyFill="1" applyBorder="1" applyAlignment="1">
      <alignment horizontal="right" vertical="center"/>
    </xf>
    <xf numFmtId="0" fontId="3" fillId="0" borderId="0" xfId="0" applyFont="1" applyFill="1" applyBorder="1" applyAlignment="1">
      <alignment horizontal="right" vertical="top" wrapText="1"/>
    </xf>
    <xf numFmtId="0" fontId="3" fillId="2" borderId="0" xfId="0" applyFont="1" applyFill="1" applyBorder="1" applyAlignment="1">
      <alignment horizontal="right" vertical="top" wrapText="1"/>
    </xf>
    <xf numFmtId="178" fontId="0" fillId="0" borderId="0" xfId="0" applyNumberFormat="1">
      <alignment vertical="center"/>
    </xf>
    <xf numFmtId="0" fontId="15" fillId="0" borderId="0" xfId="0" applyFont="1" applyAlignment="1">
      <alignment horizontal="center" vertical="center" wrapText="1"/>
    </xf>
    <xf numFmtId="0" fontId="16" fillId="0" borderId="0" xfId="0" applyFont="1" applyAlignment="1">
      <alignment horizontal="left" vertical="center" wrapText="1"/>
    </xf>
    <xf numFmtId="0" fontId="16" fillId="0" borderId="0" xfId="0" applyFont="1" applyAlignment="1">
      <alignment horizontal="right" vertical="center" wrapText="1"/>
    </xf>
    <xf numFmtId="0" fontId="3" fillId="2" borderId="0" xfId="0" applyFont="1" applyFill="1" applyBorder="1" applyAlignment="1">
      <alignment vertical="center" wrapText="1"/>
    </xf>
    <xf numFmtId="0" fontId="3" fillId="0" borderId="0" xfId="0" applyFont="1" applyFill="1" applyBorder="1" applyAlignment="1">
      <alignment vertical="center" wrapText="1"/>
    </xf>
    <xf numFmtId="0" fontId="17" fillId="0" borderId="0" xfId="0" applyFont="1">
      <alignment vertical="center"/>
    </xf>
    <xf numFmtId="0" fontId="2" fillId="0" borderId="2" xfId="0" applyFont="1" applyFill="1" applyBorder="1" applyAlignment="1">
      <alignment horizontal="center" vertical="center"/>
    </xf>
    <xf numFmtId="0" fontId="2" fillId="10" borderId="2"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13" borderId="2" xfId="0" applyFont="1" applyFill="1" applyBorder="1" applyAlignment="1">
      <alignment horizontal="center" vertical="center" wrapText="1"/>
    </xf>
    <xf numFmtId="0" fontId="14" fillId="14" borderId="2" xfId="0" applyFont="1" applyFill="1" applyBorder="1" applyAlignment="1">
      <alignment horizontal="center" vertical="center" wrapText="1"/>
    </xf>
    <xf numFmtId="0" fontId="14" fillId="15" borderId="2"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4" fillId="16" borderId="3" xfId="0" applyFont="1" applyFill="1" applyBorder="1" applyAlignment="1">
      <alignment horizontal="center" vertical="center" wrapText="1"/>
    </xf>
    <xf numFmtId="0" fontId="4" fillId="17" borderId="3" xfId="0" applyFont="1" applyFill="1" applyBorder="1" applyAlignment="1">
      <alignment horizontal="center" vertical="center" wrapText="1"/>
    </xf>
    <xf numFmtId="0" fontId="14" fillId="18" borderId="3" xfId="0" applyFont="1" applyFill="1" applyBorder="1" applyAlignment="1">
      <alignment horizontal="center" vertical="center" wrapText="1"/>
    </xf>
    <xf numFmtId="0" fontId="14" fillId="19" borderId="3" xfId="0" applyFont="1" applyFill="1" applyBorder="1" applyAlignment="1">
      <alignment horizontal="center" vertical="center" wrapText="1"/>
    </xf>
    <xf numFmtId="0" fontId="3" fillId="0" borderId="0" xfId="0" applyFont="1" applyFill="1" applyBorder="1" applyAlignment="1">
      <alignment horizontal="center" vertical="center"/>
    </xf>
    <xf numFmtId="0" fontId="18" fillId="0" borderId="0" xfId="0" applyFont="1" applyFill="1" applyBorder="1" applyAlignment="1">
      <alignment vertical="center"/>
    </xf>
    <xf numFmtId="0" fontId="3" fillId="2" borderId="0" xfId="0" applyFont="1" applyFill="1" applyBorder="1" applyAlignment="1">
      <alignment horizontal="center" vertical="center"/>
    </xf>
    <xf numFmtId="0" fontId="18" fillId="2" borderId="0" xfId="0" applyFont="1" applyFill="1" applyBorder="1" applyAlignment="1">
      <alignment vertical="center"/>
    </xf>
    <xf numFmtId="0" fontId="3" fillId="0" borderId="0" xfId="0" applyFont="1" applyFill="1" applyBorder="1" applyAlignment="1">
      <alignment vertical="center"/>
    </xf>
    <xf numFmtId="0" fontId="3" fillId="2" borderId="0" xfId="0" applyFont="1" applyFill="1" applyBorder="1" applyAlignment="1">
      <alignment vertical="center"/>
    </xf>
    <xf numFmtId="0" fontId="3" fillId="0" borderId="0" xfId="0" applyFont="1" applyFill="1" applyBorder="1" applyAlignment="1">
      <alignment horizontal="center" vertical="center" wrapText="1"/>
    </xf>
    <xf numFmtId="0" fontId="3" fillId="2" borderId="4" xfId="0" applyFont="1" applyFill="1" applyBorder="1" applyAlignment="1">
      <alignment horizontal="center" vertical="center"/>
    </xf>
    <xf numFmtId="0" fontId="18" fillId="2" borderId="4" xfId="0" applyFont="1" applyFill="1" applyBorder="1" applyAlignment="1">
      <alignment vertical="center"/>
    </xf>
    <xf numFmtId="0" fontId="3" fillId="2" borderId="4" xfId="0" applyFont="1" applyFill="1" applyBorder="1" applyAlignment="1">
      <alignment vertical="center"/>
    </xf>
    <xf numFmtId="0" fontId="3" fillId="2" borderId="4" xfId="0" applyFont="1" applyFill="1" applyBorder="1" applyAlignment="1">
      <alignment vertical="center" wrapText="1"/>
    </xf>
    <xf numFmtId="0" fontId="3" fillId="2" borderId="4" xfId="0" applyFont="1" applyFill="1" applyBorder="1" applyAlignment="1">
      <alignment horizontal="center" vertical="center" wrapText="1"/>
    </xf>
    <xf numFmtId="0" fontId="19" fillId="0" borderId="0" xfId="0" applyFont="1" applyFill="1" applyAlignment="1"/>
    <xf numFmtId="0" fontId="19" fillId="0" borderId="0" xfId="0" applyFont="1" applyFill="1" applyAlignment="1">
      <alignment vertical="top"/>
    </xf>
    <xf numFmtId="0" fontId="3" fillId="2" borderId="3" xfId="0" applyFont="1" applyFill="1" applyBorder="1" applyAlignment="1">
      <alignment vertical="center" wrapText="1"/>
    </xf>
    <xf numFmtId="0" fontId="3" fillId="2" borderId="3"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2" borderId="0" xfId="0" applyFont="1" applyFill="1" applyBorder="1" applyAlignment="1">
      <alignment horizontal="left" vertical="center" wrapText="1"/>
    </xf>
    <xf numFmtId="0" fontId="3" fillId="0" borderId="4" xfId="0" applyFont="1" applyFill="1" applyBorder="1" applyAlignment="1">
      <alignment vertical="center" wrapText="1"/>
    </xf>
    <xf numFmtId="0" fontId="3" fillId="0" borderId="4" xfId="0" applyFont="1" applyFill="1" applyBorder="1" applyAlignment="1">
      <alignment horizontal="left" vertical="center" wrapText="1"/>
    </xf>
    <xf numFmtId="0" fontId="20" fillId="2" borderId="3" xfId="0" applyFont="1" applyFill="1" applyBorder="1" applyAlignment="1">
      <alignment vertical="center" wrapText="1"/>
    </xf>
    <xf numFmtId="0" fontId="3" fillId="2" borderId="3" xfId="0" applyFont="1" applyFill="1" applyBorder="1" applyAlignment="1">
      <alignment horizontal="center" vertical="center" wrapText="1"/>
    </xf>
    <xf numFmtId="0" fontId="20" fillId="0" borderId="0" xfId="0" applyFont="1" applyFill="1" applyBorder="1" applyAlignment="1">
      <alignment vertical="center" wrapText="1"/>
    </xf>
    <xf numFmtId="0" fontId="20" fillId="2" borderId="0" xfId="0" applyFont="1" applyFill="1" applyBorder="1" applyAlignment="1">
      <alignment vertical="center" wrapText="1"/>
    </xf>
    <xf numFmtId="0" fontId="20" fillId="0" borderId="4" xfId="0" applyFont="1" applyFill="1" applyBorder="1" applyAlignment="1">
      <alignment vertical="center" wrapText="1"/>
    </xf>
    <xf numFmtId="0" fontId="2" fillId="0" borderId="2" xfId="0" applyFont="1" applyFill="1" applyBorder="1" applyAlignment="1">
      <alignment vertical="top" wrapText="1"/>
    </xf>
    <xf numFmtId="0" fontId="21" fillId="0" borderId="2" xfId="0" applyFont="1" applyFill="1" applyBorder="1" applyAlignment="1">
      <alignment vertical="top" wrapText="1"/>
    </xf>
    <xf numFmtId="0" fontId="22" fillId="0" borderId="0" xfId="0" applyFont="1" applyFill="1" applyBorder="1" applyAlignment="1">
      <alignment horizontal="left" vertical="top" wrapText="1"/>
    </xf>
    <xf numFmtId="0" fontId="22" fillId="2" borderId="0" xfId="0" applyFont="1" applyFill="1" applyBorder="1" applyAlignment="1">
      <alignment horizontal="left" vertical="center"/>
    </xf>
    <xf numFmtId="0" fontId="22" fillId="0" borderId="0" xfId="0" applyFont="1" applyFill="1" applyBorder="1" applyAlignment="1">
      <alignment horizontal="left" vertical="center"/>
    </xf>
    <xf numFmtId="0" fontId="22" fillId="0" borderId="4" xfId="0" applyFont="1" applyFill="1" applyBorder="1" applyAlignment="1">
      <alignment horizontal="left" vertical="center"/>
    </xf>
    <xf numFmtId="0" fontId="3" fillId="0" borderId="4" xfId="0" applyFont="1" applyFill="1" applyBorder="1" applyAlignment="1">
      <alignment horizontal="center" vertical="top" wrapText="1"/>
    </xf>
    <xf numFmtId="0" fontId="0" fillId="0" borderId="0" xfId="0" applyAlignment="1">
      <alignment horizontal="right" vertical="center"/>
    </xf>
    <xf numFmtId="0" fontId="2" fillId="0" borderId="2" xfId="0" applyFont="1" applyFill="1" applyBorder="1" applyAlignment="1">
      <alignment horizontal="right" vertical="center" wrapText="1"/>
    </xf>
    <xf numFmtId="0" fontId="2" fillId="0" borderId="2" xfId="0" applyNumberFormat="1" applyFont="1" applyFill="1" applyBorder="1" applyAlignment="1">
      <alignment horizontal="center"/>
    </xf>
    <xf numFmtId="0" fontId="2" fillId="0" borderId="2" xfId="0" applyNumberFormat="1" applyFont="1" applyFill="1" applyBorder="1" applyAlignment="1">
      <alignment horizontal="center" wrapText="1"/>
    </xf>
    <xf numFmtId="0" fontId="14" fillId="20" borderId="15" xfId="0" applyFont="1" applyFill="1" applyBorder="1" applyAlignment="1">
      <alignment vertical="center" wrapText="1"/>
    </xf>
    <xf numFmtId="0" fontId="14" fillId="20" borderId="11" xfId="0" applyFont="1" applyFill="1" applyBorder="1" applyAlignment="1">
      <alignment horizontal="center" vertical="center" wrapText="1"/>
    </xf>
    <xf numFmtId="0" fontId="14" fillId="20" borderId="16" xfId="0" applyFont="1" applyFill="1" applyBorder="1" applyAlignment="1">
      <alignment horizontal="center" vertical="center" wrapText="1"/>
    </xf>
    <xf numFmtId="0" fontId="3" fillId="2" borderId="3" xfId="0" applyNumberFormat="1" applyFont="1" applyFill="1" applyBorder="1" applyAlignment="1">
      <alignment horizontal="center"/>
    </xf>
    <xf numFmtId="0" fontId="3" fillId="2" borderId="3" xfId="0" applyNumberFormat="1" applyFont="1" applyFill="1" applyBorder="1" applyAlignment="1">
      <alignment horizontal="center" wrapText="1"/>
    </xf>
    <xf numFmtId="0" fontId="4" fillId="2" borderId="17" xfId="0" applyFont="1" applyFill="1" applyBorder="1" applyAlignment="1">
      <alignment vertical="center" wrapText="1"/>
    </xf>
    <xf numFmtId="0" fontId="0" fillId="0" borderId="0" xfId="0" applyFont="1" applyFill="1" applyBorder="1" applyAlignment="1">
      <alignment horizontal="center" vertical="center" wrapText="1"/>
    </xf>
    <xf numFmtId="9" fontId="0" fillId="0" borderId="18" xfId="3" applyFont="1" applyFill="1" applyBorder="1" applyAlignment="1">
      <alignment horizontal="center" vertical="center" wrapText="1"/>
    </xf>
    <xf numFmtId="0" fontId="3" fillId="0" borderId="0" xfId="0" applyNumberFormat="1" applyFont="1" applyFill="1" applyBorder="1" applyAlignment="1">
      <alignment horizontal="center"/>
    </xf>
    <xf numFmtId="179" fontId="3" fillId="0" borderId="0" xfId="0" applyNumberFormat="1" applyFont="1" applyFill="1" applyBorder="1" applyAlignment="1">
      <alignment horizontal="center"/>
    </xf>
    <xf numFmtId="0" fontId="3" fillId="0" borderId="0" xfId="49" applyFont="1" applyFill="1" applyBorder="1" applyAlignment="1">
      <alignment horizontal="center"/>
    </xf>
    <xf numFmtId="0" fontId="3" fillId="2" borderId="0" xfId="0" applyNumberFormat="1" applyFont="1" applyFill="1" applyBorder="1" applyAlignment="1">
      <alignment horizontal="center"/>
    </xf>
    <xf numFmtId="179" fontId="3" fillId="2" borderId="0" xfId="0" applyNumberFormat="1" applyFont="1" applyFill="1" applyBorder="1" applyAlignment="1">
      <alignment horizontal="center"/>
    </xf>
    <xf numFmtId="0" fontId="3" fillId="2" borderId="0" xfId="49" applyFont="1" applyFill="1" applyBorder="1" applyAlignment="1">
      <alignment horizontal="center"/>
    </xf>
    <xf numFmtId="58" fontId="3" fillId="2" borderId="0" xfId="0" applyNumberFormat="1" applyFont="1" applyFill="1" applyBorder="1" applyAlignment="1">
      <alignment horizontal="center"/>
    </xf>
    <xf numFmtId="0" fontId="3" fillId="2" borderId="0" xfId="0" applyFont="1" applyFill="1" applyBorder="1" applyAlignment="1">
      <alignment horizontal="center"/>
    </xf>
    <xf numFmtId="58" fontId="3" fillId="0" borderId="0" xfId="0" applyNumberFormat="1" applyFont="1" applyFill="1" applyBorder="1" applyAlignment="1">
      <alignment horizontal="center"/>
    </xf>
    <xf numFmtId="0" fontId="4" fillId="2" borderId="19" xfId="0" applyFont="1" applyFill="1" applyBorder="1" applyAlignment="1">
      <alignment vertical="center" wrapText="1"/>
    </xf>
    <xf numFmtId="0" fontId="4" fillId="0" borderId="4" xfId="0" applyFont="1" applyFill="1" applyBorder="1" applyAlignment="1">
      <alignment horizontal="center" vertical="center" wrapText="1"/>
    </xf>
    <xf numFmtId="9" fontId="4" fillId="0" borderId="20" xfId="3" applyFont="1" applyFill="1" applyBorder="1" applyAlignment="1">
      <alignment horizontal="center" vertical="center" wrapText="1"/>
    </xf>
    <xf numFmtId="0" fontId="3" fillId="0" borderId="0" xfId="0" applyFont="1" applyFill="1" applyBorder="1" applyAlignment="1">
      <alignment horizontal="center"/>
    </xf>
    <xf numFmtId="0" fontId="19" fillId="0" borderId="0" xfId="0" applyNumberFormat="1" applyFont="1" applyFill="1" applyBorder="1" applyAlignment="1"/>
    <xf numFmtId="0" fontId="3" fillId="2" borderId="4" xfId="0" applyFont="1" applyFill="1" applyBorder="1" applyAlignment="1">
      <alignment horizontal="right" vertical="center"/>
    </xf>
    <xf numFmtId="0" fontId="3" fillId="2" borderId="4" xfId="0" applyNumberFormat="1" applyFont="1" applyFill="1" applyBorder="1" applyAlignment="1">
      <alignment horizontal="center"/>
    </xf>
    <xf numFmtId="0" fontId="3" fillId="2" borderId="4" xfId="0" applyFont="1" applyFill="1" applyBorder="1">
      <alignment vertical="center"/>
    </xf>
    <xf numFmtId="179" fontId="3" fillId="2" borderId="4" xfId="0" applyNumberFormat="1" applyFont="1" applyFill="1" applyBorder="1" applyAlignment="1">
      <alignment horizontal="center"/>
    </xf>
    <xf numFmtId="0" fontId="3" fillId="2" borderId="4" xfId="0" applyFont="1" applyFill="1" applyBorder="1" applyAlignment="1">
      <alignment horizontal="center"/>
    </xf>
    <xf numFmtId="0" fontId="3" fillId="2" borderId="4" xfId="49" applyFont="1" applyFill="1" applyBorder="1" applyAlignment="1">
      <alignment horizontal="center"/>
    </xf>
    <xf numFmtId="0" fontId="0" fillId="0" borderId="0" xfId="0" applyAlignment="1">
      <alignment horizontal="center" vertical="center"/>
    </xf>
    <xf numFmtId="0" fontId="14" fillId="20" borderId="15" xfId="0" applyFont="1" applyFill="1" applyBorder="1" applyAlignment="1">
      <alignment horizontal="center" vertical="center" wrapText="1"/>
    </xf>
    <xf numFmtId="0" fontId="4" fillId="2" borderId="17" xfId="0" applyFont="1" applyFill="1" applyBorder="1" applyAlignment="1">
      <alignment horizontal="center" vertical="center"/>
    </xf>
    <xf numFmtId="0" fontId="0" fillId="0" borderId="0" xfId="0" applyFont="1" applyFill="1" applyBorder="1">
      <alignment vertical="center"/>
    </xf>
    <xf numFmtId="0" fontId="0" fillId="0" borderId="0" xfId="0" applyFont="1" applyFill="1" applyBorder="1" applyAlignment="1"/>
    <xf numFmtId="0" fontId="0" fillId="0" borderId="0" xfId="0" applyFont="1" applyFill="1" applyBorder="1" applyAlignment="1">
      <alignment horizontal="right" vertical="center" wrapText="1"/>
    </xf>
    <xf numFmtId="9" fontId="0" fillId="0" borderId="0" xfId="3" applyFont="1" applyFill="1" applyBorder="1" applyAlignment="1">
      <alignment horizontal="right"/>
    </xf>
    <xf numFmtId="0" fontId="0" fillId="0" borderId="0" xfId="0" applyFont="1" applyFill="1" applyBorder="1" applyAlignment="1">
      <alignment vertical="center" wrapText="1"/>
    </xf>
    <xf numFmtId="0" fontId="0" fillId="0" borderId="18" xfId="0" applyFont="1" applyFill="1" applyBorder="1" applyAlignment="1">
      <alignment horizontal="right" vertical="center" wrapText="1"/>
    </xf>
    <xf numFmtId="0" fontId="0" fillId="0" borderId="0" xfId="0" applyFont="1" applyFill="1" applyBorder="1" applyAlignment="1">
      <alignment horizontal="right"/>
    </xf>
    <xf numFmtId="0" fontId="0" fillId="0" borderId="18" xfId="0" applyFont="1" applyFill="1" applyBorder="1" applyAlignment="1">
      <alignment horizontal="right"/>
    </xf>
    <xf numFmtId="0" fontId="0" fillId="0" borderId="0" xfId="0" applyFont="1" applyFill="1" applyBorder="1" applyAlignment="1">
      <alignment horizontal="right" vertical="center"/>
    </xf>
    <xf numFmtId="0" fontId="0" fillId="0" borderId="18" xfId="0" applyFont="1" applyFill="1" applyBorder="1" applyAlignment="1">
      <alignment horizontal="right" vertical="center"/>
    </xf>
    <xf numFmtId="0" fontId="0" fillId="0" borderId="0" xfId="0" applyFont="1" applyFill="1" applyBorder="1" applyAlignment="1">
      <alignment horizontal="right" wrapText="1"/>
    </xf>
    <xf numFmtId="0" fontId="0" fillId="0" borderId="0" xfId="0" applyFont="1" applyFill="1" applyBorder="1" applyAlignment="1">
      <alignment vertical="top" wrapText="1"/>
    </xf>
    <xf numFmtId="0" fontId="0" fillId="0" borderId="18" xfId="0" applyFont="1" applyFill="1" applyBorder="1" applyAlignment="1">
      <alignment horizontal="right" vertical="top" wrapText="1"/>
    </xf>
    <xf numFmtId="0" fontId="0" fillId="0" borderId="0" xfId="0" applyFont="1" applyFill="1" applyBorder="1" applyAlignment="1">
      <alignment horizontal="right" vertical="top" wrapText="1"/>
    </xf>
    <xf numFmtId="0" fontId="0" fillId="0" borderId="0" xfId="0" applyFont="1" applyFill="1" applyBorder="1" applyAlignment="1">
      <alignment wrapText="1"/>
    </xf>
    <xf numFmtId="0" fontId="0" fillId="0" borderId="0" xfId="0" applyFont="1" applyFill="1" applyBorder="1" applyAlignment="1">
      <alignment horizontal="center" vertical="top" wrapText="1"/>
    </xf>
    <xf numFmtId="0" fontId="0" fillId="0" borderId="18" xfId="0" applyFont="1" applyFill="1" applyBorder="1" applyAlignment="1">
      <alignment horizontal="right" wrapText="1"/>
    </xf>
    <xf numFmtId="0" fontId="0" fillId="0" borderId="0" xfId="0" applyFont="1" applyFill="1" applyBorder="1" applyAlignment="1">
      <alignment horizontal="center" wrapText="1"/>
    </xf>
    <xf numFmtId="9" fontId="0" fillId="0" borderId="0" xfId="3" applyFont="1" applyAlignment="1">
      <alignment horizontal="right" vertical="center"/>
    </xf>
    <xf numFmtId="0" fontId="0" fillId="21" borderId="21" xfId="0" applyFont="1" applyFill="1" applyBorder="1" applyAlignment="1">
      <alignment horizontal="center" vertical="center" wrapText="1"/>
    </xf>
    <xf numFmtId="0" fontId="0" fillId="21" borderId="21" xfId="0" applyFont="1" applyFill="1" applyBorder="1" applyAlignment="1">
      <alignment vertical="center" wrapText="1"/>
    </xf>
    <xf numFmtId="0" fontId="4" fillId="0" borderId="0" xfId="0" applyFont="1" applyAlignment="1">
      <alignment horizontal="center" vertical="center" wrapText="1"/>
    </xf>
    <xf numFmtId="0" fontId="0" fillId="0" borderId="21" xfId="0" applyFont="1" applyFill="1" applyBorder="1">
      <alignment vertical="center"/>
    </xf>
    <xf numFmtId="0" fontId="0" fillId="0" borderId="21" xfId="0" applyFont="1" applyFill="1" applyBorder="1" applyAlignment="1"/>
    <xf numFmtId="0" fontId="0" fillId="0" borderId="21" xfId="0" applyFont="1" applyFill="1" applyBorder="1" applyAlignment="1">
      <alignment horizontal="right" wrapText="1"/>
    </xf>
    <xf numFmtId="178" fontId="0" fillId="0" borderId="21" xfId="0" applyNumberFormat="1" applyFont="1" applyFill="1" applyBorder="1">
      <alignment vertical="center"/>
    </xf>
    <xf numFmtId="0" fontId="0" fillId="0" borderId="21" xfId="0" applyFont="1" applyFill="1" applyBorder="1" applyAlignment="1">
      <alignment wrapText="1"/>
    </xf>
    <xf numFmtId="0" fontId="0" fillId="0" borderId="21" xfId="0" applyFont="1" applyFill="1" applyBorder="1" applyAlignment="1">
      <alignment vertical="top" wrapText="1"/>
    </xf>
    <xf numFmtId="0" fontId="0" fillId="0" borderId="21" xfId="0" applyFont="1" applyFill="1" applyBorder="1" applyAlignment="1">
      <alignment horizontal="right" vertical="top" wrapText="1"/>
    </xf>
    <xf numFmtId="0" fontId="0" fillId="0" borderId="21" xfId="0" applyFont="1" applyFill="1" applyBorder="1" applyAlignment="1">
      <alignment horizontal="right"/>
    </xf>
    <xf numFmtId="0" fontId="0" fillId="0" borderId="21" xfId="0" applyFont="1" applyFill="1" applyBorder="1" applyAlignment="1">
      <alignment horizontal="right" vertical="center"/>
    </xf>
    <xf numFmtId="0" fontId="0" fillId="0" borderId="21" xfId="0" applyFont="1" applyFill="1" applyBorder="1" applyAlignment="1">
      <alignment horizontal="right" vertical="center" wrapText="1"/>
    </xf>
    <xf numFmtId="0" fontId="0" fillId="0" borderId="21" xfId="0" applyFont="1" applyFill="1" applyBorder="1" applyAlignment="1">
      <alignment vertical="center" wrapText="1"/>
    </xf>
    <xf numFmtId="9" fontId="0" fillId="0" borderId="0" xfId="3" applyFont="1">
      <alignment vertical="center"/>
    </xf>
    <xf numFmtId="0" fontId="0" fillId="0" borderId="21" xfId="0" applyFont="1" applyFill="1" applyBorder="1" quotePrefix="1">
      <alignment vertical="center"/>
    </xf>
    <xf numFmtId="0" fontId="4" fillId="2" borderId="17" xfId="0" applyFont="1" applyFill="1" applyBorder="1" applyAlignment="1" quotePrefix="1">
      <alignment horizontal="center" vertical="center"/>
    </xf>
    <xf numFmtId="0" fontId="3" fillId="0" borderId="0" xfId="0" applyFont="1" applyFill="1" applyBorder="1" applyAlignment="1" quotePrefix="1">
      <alignment horizontal="right" vertical="center"/>
    </xf>
    <xf numFmtId="0" fontId="3" fillId="2" borderId="0" xfId="0" applyFont="1" applyFill="1" applyBorder="1" applyAlignment="1" quotePrefix="1">
      <alignment horizontal="right" vertical="center"/>
    </xf>
    <xf numFmtId="0" fontId="3" fillId="2" borderId="3" xfId="0" applyFont="1" applyFill="1" applyBorder="1" quotePrefix="1">
      <alignment vertical="center"/>
    </xf>
    <xf numFmtId="0" fontId="3" fillId="0" borderId="0" xfId="0" applyFont="1" applyFill="1" applyBorder="1" quotePrefix="1">
      <alignment vertical="center"/>
    </xf>
    <xf numFmtId="0" fontId="3" fillId="2" borderId="0" xfId="0" applyFont="1" applyFill="1" applyBorder="1" quotePrefix="1">
      <alignment vertical="center"/>
    </xf>
  </cellXfs>
  <cellStyles count="50">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 name="Normal 5"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xml version="1.0" encoding="UTF-8" standalone="yes"?>
<Relationships xmlns="http://schemas.openxmlformats.org/package/2006/relationships"><Relationship Id="rId9" Type="http://schemas.openxmlformats.org/officeDocument/2006/relationships/hyperlink" Target="mailto:Freddymupadi07@gmail.com" TargetMode="External"/><Relationship Id="rId8" Type="http://schemas.openxmlformats.org/officeDocument/2006/relationships/hyperlink" Target="mailto:gedeon.mufabure@gmail.com" TargetMode="External"/><Relationship Id="rId7" Type="http://schemas.openxmlformats.org/officeDocument/2006/relationships/hyperlink" Target="mailto:rtshibangu89@gmail.com" TargetMode="External"/><Relationship Id="rId6" Type="http://schemas.openxmlformats.org/officeDocument/2006/relationships/hyperlink" Target="mailto:xaviermpia5@gmail.com" TargetMode="External"/><Relationship Id="rId5" Type="http://schemas.openxmlformats.org/officeDocument/2006/relationships/hyperlink" Target="mailto:nsampiandredesire@gmail.com" TargetMode="External"/><Relationship Id="rId4" Type="http://schemas.openxmlformats.org/officeDocument/2006/relationships/hyperlink" Target="mailto:gedeonmushadi0@gmail.com" TargetMode="External"/><Relationship Id="rId3" Type="http://schemas.openxmlformats.org/officeDocument/2006/relationships/hyperlink" Target="mailto:gedeonsiama@gmail.com" TargetMode="External"/><Relationship Id="rId2" Type="http://schemas.openxmlformats.org/officeDocument/2006/relationships/hyperlink" Target="mailto:pamphilejlmbonda@gmail.com" TargetMode="External"/><Relationship Id="rId14" Type="http://schemas.openxmlformats.org/officeDocument/2006/relationships/hyperlink" Target="mailto:sermupela@gmail.com" TargetMode="External"/><Relationship Id="rId13" Type="http://schemas.openxmlformats.org/officeDocument/2006/relationships/hyperlink" Target="mailto:gaboul2002@yahoo.fr" TargetMode="External"/><Relationship Id="rId12" Type="http://schemas.openxmlformats.org/officeDocument/2006/relationships/hyperlink" Target="mailto:manzolic80@gmail.com" TargetMode="External"/><Relationship Id="rId11" Type="http://schemas.openxmlformats.org/officeDocument/2006/relationships/hyperlink" Target="mailto:yanlusamba1900@gmail.com" TargetMode="External"/><Relationship Id="rId10" Type="http://schemas.openxmlformats.org/officeDocument/2006/relationships/hyperlink" Target="mailto:drsamuelosinga@gmail.com" TargetMode="External"/><Relationship Id="rId1" Type="http://schemas.openxmlformats.org/officeDocument/2006/relationships/hyperlink" Target="mailto:ahukafama1975@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A295"/>
  <sheetViews>
    <sheetView tabSelected="1" zoomScale="140" zoomScaleNormal="140" workbookViewId="0">
      <pane xSplit="4" ySplit="2" topLeftCell="Q3" activePane="bottomRight" state="frozen"/>
      <selection/>
      <selection pane="topRight"/>
      <selection pane="bottomLeft"/>
      <selection pane="bottomRight" activeCell="V5" sqref="V5"/>
    </sheetView>
  </sheetViews>
  <sheetFormatPr defaultColWidth="8.90909090909091" defaultRowHeight="14.5"/>
  <cols>
    <col min="3" max="3" width="18.0909090909091" customWidth="1"/>
    <col min="4" max="4" width="18" customWidth="1"/>
    <col min="7" max="7" width="10.0909090909091" customWidth="1"/>
    <col min="8" max="8" width="10.1818181818182" customWidth="1"/>
    <col min="11" max="11" width="12.9090909090909"/>
    <col min="12" max="15" width="10.8181818181818" customWidth="1"/>
    <col min="18" max="18" width="13.3636363636364" customWidth="1"/>
    <col min="20" max="20" width="12.8181818181818"/>
    <col min="21" max="21" width="7.26363636363636" customWidth="1"/>
  </cols>
  <sheetData>
    <row r="1" ht="17" customHeight="1"/>
    <row r="2" ht="76" customHeight="1" spans="1:27">
      <c r="A2" s="210" t="s">
        <v>0</v>
      </c>
      <c r="B2" s="210" t="s">
        <v>1</v>
      </c>
      <c r="C2" s="210" t="s">
        <v>2</v>
      </c>
      <c r="D2" s="210" t="s">
        <v>3</v>
      </c>
      <c r="E2" s="210" t="s">
        <v>4</v>
      </c>
      <c r="F2" s="210" t="s">
        <v>5</v>
      </c>
      <c r="G2" s="211" t="s">
        <v>6</v>
      </c>
      <c r="H2" s="211" t="s">
        <v>7</v>
      </c>
      <c r="I2" s="211" t="s">
        <v>8</v>
      </c>
      <c r="J2" s="211" t="s">
        <v>9</v>
      </c>
      <c r="K2" s="211" t="s">
        <v>10</v>
      </c>
      <c r="L2" s="211" t="s">
        <v>11</v>
      </c>
      <c r="M2" s="211" t="s">
        <v>12</v>
      </c>
      <c r="N2" s="211" t="s">
        <v>13</v>
      </c>
      <c r="O2" s="211" t="s">
        <v>14</v>
      </c>
      <c r="P2" s="210" t="s">
        <v>15</v>
      </c>
      <c r="Q2" s="210" t="s">
        <v>16</v>
      </c>
      <c r="R2" s="210" t="s">
        <v>17</v>
      </c>
      <c r="S2" s="210" t="s">
        <v>18</v>
      </c>
      <c r="T2" s="210" t="s">
        <v>19</v>
      </c>
      <c r="U2" s="210" t="s">
        <v>20</v>
      </c>
      <c r="V2" s="212"/>
      <c r="W2" s="212"/>
      <c r="X2" s="212"/>
      <c r="Y2" s="212"/>
      <c r="Z2" s="212"/>
      <c r="AA2" s="212"/>
    </row>
    <row r="3" spans="1:27">
      <c r="A3" s="225" t="s">
        <v>21</v>
      </c>
      <c r="B3" s="213" t="s">
        <v>22</v>
      </c>
      <c r="C3" s="214" t="s">
        <v>23</v>
      </c>
      <c r="D3" s="214" t="s">
        <v>24</v>
      </c>
      <c r="E3" s="213">
        <v>13739</v>
      </c>
      <c r="F3" s="214">
        <v>22579</v>
      </c>
      <c r="G3" s="215">
        <v>206</v>
      </c>
      <c r="H3" s="216">
        <v>479.4911</v>
      </c>
      <c r="I3" s="214">
        <v>788</v>
      </c>
      <c r="J3" s="214">
        <v>3</v>
      </c>
      <c r="K3" s="214">
        <v>2</v>
      </c>
      <c r="L3" s="217">
        <v>6</v>
      </c>
      <c r="M3" s="218">
        <v>2</v>
      </c>
      <c r="N3" s="217">
        <v>0</v>
      </c>
      <c r="O3" s="213"/>
      <c r="P3" s="218">
        <v>140</v>
      </c>
      <c r="Q3" s="215">
        <v>15</v>
      </c>
      <c r="R3" s="219" t="s">
        <v>25</v>
      </c>
      <c r="S3" s="219" t="s">
        <v>26</v>
      </c>
      <c r="T3" s="105">
        <f>H3*5/25/12</f>
        <v>7.99151833333333</v>
      </c>
      <c r="U3" s="105">
        <f>T3-L3-M3-N3-O3</f>
        <v>-0.00848166666666739</v>
      </c>
    </row>
    <row r="4" spans="1:27">
      <c r="A4" s="225" t="s">
        <v>27</v>
      </c>
      <c r="B4" s="213" t="s">
        <v>22</v>
      </c>
      <c r="C4" s="214" t="s">
        <v>23</v>
      </c>
      <c r="D4" s="214" t="s">
        <v>28</v>
      </c>
      <c r="E4" s="213">
        <v>15166</v>
      </c>
      <c r="F4" s="214">
        <v>17307</v>
      </c>
      <c r="G4" s="215">
        <v>794</v>
      </c>
      <c r="H4" s="216">
        <v>529.2934</v>
      </c>
      <c r="I4" s="214">
        <v>604</v>
      </c>
      <c r="J4" s="214">
        <v>4</v>
      </c>
      <c r="K4" s="214">
        <v>2</v>
      </c>
      <c r="L4" s="217">
        <v>6</v>
      </c>
      <c r="M4" s="217">
        <v>2</v>
      </c>
      <c r="N4" s="217">
        <v>0</v>
      </c>
      <c r="O4" s="213"/>
      <c r="P4" s="218">
        <v>2</v>
      </c>
      <c r="Q4" s="215">
        <v>14</v>
      </c>
      <c r="R4" s="219" t="s">
        <v>25</v>
      </c>
      <c r="S4" s="219" t="s">
        <v>29</v>
      </c>
      <c r="T4" s="105">
        <f t="shared" ref="T4:T17" si="0">H4*5/25/12</f>
        <v>8.82155666666667</v>
      </c>
      <c r="U4" s="105">
        <f t="shared" ref="U4:U24" si="1">T4-L4-M4-N4-O4</f>
        <v>0.821556666666668</v>
      </c>
    </row>
    <row r="5" spans="1:27">
      <c r="A5" s="225" t="s">
        <v>30</v>
      </c>
      <c r="B5" s="213" t="s">
        <v>22</v>
      </c>
      <c r="C5" s="214" t="s">
        <v>23</v>
      </c>
      <c r="D5" s="214" t="s">
        <v>31</v>
      </c>
      <c r="E5" s="213">
        <v>12185</v>
      </c>
      <c r="F5" s="214">
        <v>21433</v>
      </c>
      <c r="G5" s="215">
        <v>240</v>
      </c>
      <c r="H5" s="216">
        <v>425.2565</v>
      </c>
      <c r="I5" s="214">
        <v>748</v>
      </c>
      <c r="J5" s="214">
        <v>4</v>
      </c>
      <c r="K5" s="214">
        <v>2</v>
      </c>
      <c r="L5" s="217">
        <v>6</v>
      </c>
      <c r="M5" s="218">
        <v>2</v>
      </c>
      <c r="N5" s="217">
        <v>0</v>
      </c>
      <c r="O5" s="213"/>
      <c r="P5" s="218">
        <v>120</v>
      </c>
      <c r="Q5" s="215">
        <v>10</v>
      </c>
      <c r="R5" s="219" t="s">
        <v>25</v>
      </c>
      <c r="S5" s="219" t="s">
        <v>26</v>
      </c>
      <c r="T5" s="105">
        <f t="shared" si="0"/>
        <v>7.08760833333333</v>
      </c>
      <c r="U5" s="105">
        <f t="shared" si="1"/>
        <v>-0.912391666666665</v>
      </c>
    </row>
    <row r="6" spans="1:27">
      <c r="A6" s="225" t="s">
        <v>32</v>
      </c>
      <c r="B6" s="213" t="s">
        <v>22</v>
      </c>
      <c r="C6" s="214" t="s">
        <v>23</v>
      </c>
      <c r="D6" s="214" t="s">
        <v>33</v>
      </c>
      <c r="E6" s="213">
        <v>11136</v>
      </c>
      <c r="F6" s="214">
        <v>20029</v>
      </c>
      <c r="G6" s="215">
        <v>357</v>
      </c>
      <c r="H6" s="216">
        <v>388.6464</v>
      </c>
      <c r="I6" s="214">
        <v>699</v>
      </c>
      <c r="J6" s="214">
        <v>3</v>
      </c>
      <c r="K6" s="214">
        <v>2</v>
      </c>
      <c r="L6" s="217">
        <v>6</v>
      </c>
      <c r="M6" s="218">
        <v>2</v>
      </c>
      <c r="N6" s="217">
        <v>0</v>
      </c>
      <c r="O6" s="213"/>
      <c r="P6" s="218">
        <v>88</v>
      </c>
      <c r="Q6" s="215">
        <v>4</v>
      </c>
      <c r="R6" s="219" t="s">
        <v>25</v>
      </c>
      <c r="S6" s="219" t="s">
        <v>26</v>
      </c>
      <c r="T6" s="105">
        <f t="shared" si="0"/>
        <v>6.47744</v>
      </c>
      <c r="U6" s="105">
        <f t="shared" si="1"/>
        <v>-1.52256</v>
      </c>
    </row>
    <row r="7" spans="1:27">
      <c r="A7" s="225" t="s">
        <v>34</v>
      </c>
      <c r="B7" s="213" t="s">
        <v>22</v>
      </c>
      <c r="C7" s="214" t="s">
        <v>23</v>
      </c>
      <c r="D7" s="214" t="s">
        <v>35</v>
      </c>
      <c r="E7" s="213">
        <v>9970</v>
      </c>
      <c r="F7" s="214">
        <v>11547</v>
      </c>
      <c r="G7" s="215">
        <v>256</v>
      </c>
      <c r="H7" s="216">
        <v>347.953</v>
      </c>
      <c r="I7" s="214">
        <v>403</v>
      </c>
      <c r="J7" s="214">
        <v>2</v>
      </c>
      <c r="K7" s="214">
        <v>2</v>
      </c>
      <c r="L7" s="217">
        <v>6</v>
      </c>
      <c r="M7" s="218">
        <v>2</v>
      </c>
      <c r="N7" s="217">
        <v>0</v>
      </c>
      <c r="O7" s="213"/>
      <c r="P7" s="218">
        <v>150</v>
      </c>
      <c r="Q7" s="215" t="s">
        <v>36</v>
      </c>
      <c r="R7" s="219" t="s">
        <v>36</v>
      </c>
      <c r="S7" s="219" t="s">
        <v>36</v>
      </c>
      <c r="T7" s="105">
        <f t="shared" si="0"/>
        <v>5.79921666666667</v>
      </c>
      <c r="U7" s="105">
        <f t="shared" si="1"/>
        <v>-2.20078333333333</v>
      </c>
    </row>
    <row r="8" spans="1:27">
      <c r="A8" s="225" t="s">
        <v>37</v>
      </c>
      <c r="B8" s="213" t="s">
        <v>22</v>
      </c>
      <c r="C8" s="214" t="s">
        <v>23</v>
      </c>
      <c r="D8" s="214" t="s">
        <v>38</v>
      </c>
      <c r="E8" s="213">
        <v>6979</v>
      </c>
      <c r="F8" s="214">
        <v>12636</v>
      </c>
      <c r="G8" s="215">
        <v>305</v>
      </c>
      <c r="H8" s="216">
        <v>243.5671</v>
      </c>
      <c r="I8" s="214">
        <v>441</v>
      </c>
      <c r="J8" s="214">
        <v>2</v>
      </c>
      <c r="K8" s="214">
        <v>2</v>
      </c>
      <c r="L8" s="217">
        <v>3</v>
      </c>
      <c r="M8" s="218">
        <v>1</v>
      </c>
      <c r="N8" s="217">
        <v>0</v>
      </c>
      <c r="O8" s="213"/>
      <c r="P8" s="218">
        <v>66</v>
      </c>
      <c r="Q8" s="215" t="s">
        <v>36</v>
      </c>
      <c r="R8" s="219" t="s">
        <v>36</v>
      </c>
      <c r="S8" s="219" t="s">
        <v>36</v>
      </c>
      <c r="T8" s="105">
        <f t="shared" si="0"/>
        <v>4.05945166666667</v>
      </c>
      <c r="U8" s="105">
        <f t="shared" si="1"/>
        <v>0.0594516666666669</v>
      </c>
    </row>
    <row r="9" spans="1:27">
      <c r="A9" s="225" t="s">
        <v>39</v>
      </c>
      <c r="B9" s="213" t="s">
        <v>22</v>
      </c>
      <c r="C9" s="214" t="s">
        <v>23</v>
      </c>
      <c r="D9" s="214" t="s">
        <v>40</v>
      </c>
      <c r="E9" s="213">
        <v>13635</v>
      </c>
      <c r="F9" s="214">
        <v>22951</v>
      </c>
      <c r="G9" s="215">
        <v>162</v>
      </c>
      <c r="H9" s="216">
        <v>475.8615</v>
      </c>
      <c r="I9" s="214">
        <v>801</v>
      </c>
      <c r="J9" s="214">
        <v>3</v>
      </c>
      <c r="K9" s="214">
        <v>2</v>
      </c>
      <c r="L9" s="217">
        <v>6</v>
      </c>
      <c r="M9" s="218">
        <v>2</v>
      </c>
      <c r="N9" s="217">
        <v>0</v>
      </c>
      <c r="O9" s="213"/>
      <c r="P9" s="218">
        <v>60</v>
      </c>
      <c r="Q9" s="215">
        <v>5</v>
      </c>
      <c r="R9" s="219" t="s">
        <v>25</v>
      </c>
      <c r="S9" s="219" t="s">
        <v>26</v>
      </c>
      <c r="T9" s="105">
        <f t="shared" si="0"/>
        <v>7.931025</v>
      </c>
      <c r="U9" s="105">
        <f t="shared" si="1"/>
        <v>-0.0689750000000009</v>
      </c>
    </row>
    <row r="10" spans="1:27">
      <c r="A10" s="225" t="s">
        <v>41</v>
      </c>
      <c r="B10" s="213" t="s">
        <v>22</v>
      </c>
      <c r="C10" s="214" t="s">
        <v>23</v>
      </c>
      <c r="D10" s="214" t="s">
        <v>42</v>
      </c>
      <c r="E10" s="213">
        <v>10388</v>
      </c>
      <c r="F10" s="214">
        <v>11862</v>
      </c>
      <c r="G10" s="215">
        <v>249</v>
      </c>
      <c r="H10" s="216">
        <v>362.5412</v>
      </c>
      <c r="I10" s="214">
        <v>414</v>
      </c>
      <c r="J10" s="214">
        <v>3</v>
      </c>
      <c r="K10" s="214">
        <v>2</v>
      </c>
      <c r="L10" s="217">
        <v>6</v>
      </c>
      <c r="M10" s="218">
        <v>2</v>
      </c>
      <c r="N10" s="217">
        <v>0</v>
      </c>
      <c r="O10" s="213"/>
      <c r="P10" s="218">
        <v>164</v>
      </c>
      <c r="Q10" s="215">
        <v>15</v>
      </c>
      <c r="R10" s="219" t="s">
        <v>25</v>
      </c>
      <c r="S10" s="219" t="s">
        <v>26</v>
      </c>
      <c r="T10" s="105">
        <f t="shared" si="0"/>
        <v>6.04235333333333</v>
      </c>
      <c r="U10" s="105">
        <f t="shared" si="1"/>
        <v>-1.95764666666667</v>
      </c>
    </row>
    <row r="11" spans="1:27">
      <c r="A11" s="225" t="s">
        <v>43</v>
      </c>
      <c r="B11" s="213" t="s">
        <v>22</v>
      </c>
      <c r="C11" s="214" t="s">
        <v>23</v>
      </c>
      <c r="D11" s="214" t="s">
        <v>44</v>
      </c>
      <c r="E11" s="213">
        <v>6658</v>
      </c>
      <c r="F11" s="214">
        <v>13009</v>
      </c>
      <c r="G11" s="215">
        <v>9649</v>
      </c>
      <c r="H11" s="216">
        <v>232.3642</v>
      </c>
      <c r="I11" s="214">
        <v>454</v>
      </c>
      <c r="J11" s="214">
        <v>2</v>
      </c>
      <c r="K11" s="214">
        <v>2</v>
      </c>
      <c r="L11" s="217">
        <v>4</v>
      </c>
      <c r="M11" s="218">
        <v>0</v>
      </c>
      <c r="N11" s="217">
        <v>0</v>
      </c>
      <c r="O11" s="213"/>
      <c r="P11" s="218">
        <v>24</v>
      </c>
      <c r="Q11" s="215" t="s">
        <v>36</v>
      </c>
      <c r="R11" s="219" t="s">
        <v>36</v>
      </c>
      <c r="S11" s="219" t="s">
        <v>36</v>
      </c>
      <c r="T11" s="105">
        <f t="shared" si="0"/>
        <v>3.87273666666667</v>
      </c>
      <c r="U11" s="105">
        <f t="shared" si="1"/>
        <v>-0.127263333333333</v>
      </c>
    </row>
    <row r="12" spans="1:27">
      <c r="A12" s="225" t="s">
        <v>45</v>
      </c>
      <c r="B12" s="213" t="s">
        <v>22</v>
      </c>
      <c r="C12" s="214" t="s">
        <v>23</v>
      </c>
      <c r="D12" s="214" t="s">
        <v>46</v>
      </c>
      <c r="E12" s="213">
        <v>17605</v>
      </c>
      <c r="F12" s="214">
        <v>32436</v>
      </c>
      <c r="G12" s="215">
        <v>346</v>
      </c>
      <c r="H12" s="216">
        <v>614.4145</v>
      </c>
      <c r="I12" s="214">
        <v>1132</v>
      </c>
      <c r="J12" s="214">
        <v>3</v>
      </c>
      <c r="K12" s="214">
        <v>2</v>
      </c>
      <c r="L12" s="217">
        <v>8</v>
      </c>
      <c r="M12" s="218">
        <v>4</v>
      </c>
      <c r="N12" s="217">
        <v>0</v>
      </c>
      <c r="O12" s="213"/>
      <c r="P12" s="218">
        <v>194</v>
      </c>
      <c r="Q12" s="215">
        <v>7</v>
      </c>
      <c r="R12" s="219" t="s">
        <v>25</v>
      </c>
      <c r="S12" s="219" t="s">
        <v>26</v>
      </c>
      <c r="T12" s="105">
        <f t="shared" si="0"/>
        <v>10.2402416666667</v>
      </c>
      <c r="U12" s="105">
        <f t="shared" si="1"/>
        <v>-1.75975833333333</v>
      </c>
    </row>
    <row r="13" spans="1:27">
      <c r="A13" s="225" t="s">
        <v>47</v>
      </c>
      <c r="B13" s="213" t="s">
        <v>22</v>
      </c>
      <c r="C13" s="214" t="s">
        <v>23</v>
      </c>
      <c r="D13" s="214" t="s">
        <v>48</v>
      </c>
      <c r="E13" s="213">
        <v>11258</v>
      </c>
      <c r="F13" s="214">
        <v>21691</v>
      </c>
      <c r="G13" s="215">
        <v>190</v>
      </c>
      <c r="H13" s="216">
        <v>392.9042</v>
      </c>
      <c r="I13" s="214">
        <v>757</v>
      </c>
      <c r="J13" s="214">
        <v>4</v>
      </c>
      <c r="K13" s="214">
        <v>2</v>
      </c>
      <c r="L13" s="217">
        <v>6</v>
      </c>
      <c r="M13" s="218">
        <v>2</v>
      </c>
      <c r="N13" s="217">
        <v>0</v>
      </c>
      <c r="O13" s="213"/>
      <c r="P13" s="218">
        <v>52</v>
      </c>
      <c r="Q13" s="215">
        <v>10</v>
      </c>
      <c r="R13" s="219" t="s">
        <v>25</v>
      </c>
      <c r="S13" s="219" t="s">
        <v>26</v>
      </c>
      <c r="T13" s="105">
        <f t="shared" si="0"/>
        <v>6.54840333333333</v>
      </c>
      <c r="U13" s="105">
        <f t="shared" si="1"/>
        <v>-1.45159666666667</v>
      </c>
    </row>
    <row r="14" spans="1:27">
      <c r="A14" s="225" t="s">
        <v>49</v>
      </c>
      <c r="B14" s="213" t="s">
        <v>22</v>
      </c>
      <c r="C14" s="214" t="s">
        <v>23</v>
      </c>
      <c r="D14" s="214" t="s">
        <v>50</v>
      </c>
      <c r="E14" s="213">
        <v>13246</v>
      </c>
      <c r="F14" s="214">
        <v>15731</v>
      </c>
      <c r="G14" s="215">
        <v>455</v>
      </c>
      <c r="H14" s="216">
        <v>462.2854</v>
      </c>
      <c r="I14" s="214">
        <v>549</v>
      </c>
      <c r="J14" s="214">
        <v>2</v>
      </c>
      <c r="K14" s="214">
        <v>2</v>
      </c>
      <c r="L14" s="217">
        <v>6</v>
      </c>
      <c r="M14" s="218">
        <v>2</v>
      </c>
      <c r="N14" s="217">
        <v>0</v>
      </c>
      <c r="O14" s="213"/>
      <c r="P14" s="218">
        <v>144</v>
      </c>
      <c r="Q14" s="215">
        <v>10</v>
      </c>
      <c r="R14" s="219" t="s">
        <v>25</v>
      </c>
      <c r="S14" s="219" t="s">
        <v>26</v>
      </c>
      <c r="T14" s="105">
        <f t="shared" si="0"/>
        <v>7.70475666666667</v>
      </c>
      <c r="U14" s="105">
        <f t="shared" si="1"/>
        <v>-0.295243333333334</v>
      </c>
    </row>
    <row r="15" spans="1:27">
      <c r="A15" s="225" t="s">
        <v>51</v>
      </c>
      <c r="B15" s="213" t="s">
        <v>22</v>
      </c>
      <c r="C15" s="214" t="s">
        <v>23</v>
      </c>
      <c r="D15" s="214" t="s">
        <v>52</v>
      </c>
      <c r="E15" s="213">
        <v>9030</v>
      </c>
      <c r="F15" s="214">
        <v>11060</v>
      </c>
      <c r="G15" s="215">
        <v>163</v>
      </c>
      <c r="H15" s="216">
        <v>315.147</v>
      </c>
      <c r="I15" s="214">
        <v>386</v>
      </c>
      <c r="J15" s="214">
        <v>2</v>
      </c>
      <c r="K15" s="214">
        <v>2</v>
      </c>
      <c r="L15" s="217">
        <v>3</v>
      </c>
      <c r="M15" s="218">
        <v>1</v>
      </c>
      <c r="N15" s="217">
        <v>0</v>
      </c>
      <c r="O15" s="213"/>
      <c r="P15" s="218">
        <v>14</v>
      </c>
      <c r="Q15" s="215" t="s">
        <v>36</v>
      </c>
      <c r="R15" s="219" t="s">
        <v>36</v>
      </c>
      <c r="S15" s="219" t="s">
        <v>36</v>
      </c>
      <c r="T15" s="105">
        <f t="shared" si="0"/>
        <v>5.25245</v>
      </c>
      <c r="U15" s="105">
        <f t="shared" si="1"/>
        <v>1.25245</v>
      </c>
    </row>
    <row r="16" spans="1:27">
      <c r="A16" s="225" t="s">
        <v>53</v>
      </c>
      <c r="B16" s="213" t="s">
        <v>22</v>
      </c>
      <c r="C16" s="214" t="s">
        <v>23</v>
      </c>
      <c r="D16" s="214" t="s">
        <v>54</v>
      </c>
      <c r="E16" s="213">
        <v>12135</v>
      </c>
      <c r="F16" s="214">
        <v>22579</v>
      </c>
      <c r="G16" s="215">
        <v>281</v>
      </c>
      <c r="H16" s="216">
        <v>423.5115</v>
      </c>
      <c r="I16" s="214">
        <v>788</v>
      </c>
      <c r="J16" s="214">
        <v>3</v>
      </c>
      <c r="K16" s="214">
        <v>2</v>
      </c>
      <c r="L16" s="217">
        <v>6</v>
      </c>
      <c r="M16" s="218">
        <v>2</v>
      </c>
      <c r="N16" s="217">
        <v>0</v>
      </c>
      <c r="O16" s="213"/>
      <c r="P16" s="218">
        <v>88</v>
      </c>
      <c r="Q16" s="215">
        <v>10</v>
      </c>
      <c r="R16" s="219" t="s">
        <v>25</v>
      </c>
      <c r="S16" s="219" t="s">
        <v>26</v>
      </c>
      <c r="T16" s="105">
        <f t="shared" si="0"/>
        <v>7.058525</v>
      </c>
      <c r="U16" s="105">
        <f t="shared" si="1"/>
        <v>-0.941475000000001</v>
      </c>
    </row>
    <row r="17" spans="1:21">
      <c r="A17" s="225" t="s">
        <v>55</v>
      </c>
      <c r="B17" s="213" t="s">
        <v>22</v>
      </c>
      <c r="C17" s="214" t="s">
        <v>23</v>
      </c>
      <c r="D17" s="214" t="s">
        <v>56</v>
      </c>
      <c r="E17" s="213">
        <v>9799</v>
      </c>
      <c r="F17" s="214">
        <v>17851</v>
      </c>
      <c r="G17" s="215">
        <v>195</v>
      </c>
      <c r="H17" s="216">
        <v>341.9851</v>
      </c>
      <c r="I17" s="214">
        <v>623</v>
      </c>
      <c r="J17" s="214">
        <v>3</v>
      </c>
      <c r="K17" s="214">
        <v>2</v>
      </c>
      <c r="L17" s="217">
        <v>6</v>
      </c>
      <c r="M17" s="218">
        <v>2</v>
      </c>
      <c r="N17" s="217">
        <v>0</v>
      </c>
      <c r="O17" s="213"/>
      <c r="P17" s="218">
        <v>40</v>
      </c>
      <c r="Q17" s="215">
        <v>7</v>
      </c>
      <c r="R17" s="219" t="s">
        <v>25</v>
      </c>
      <c r="S17" s="219" t="s">
        <v>26</v>
      </c>
      <c r="T17" s="105">
        <f t="shared" si="0"/>
        <v>5.69975166666667</v>
      </c>
      <c r="U17" s="105">
        <f t="shared" si="1"/>
        <v>-2.30024833333333</v>
      </c>
    </row>
    <row r="18" spans="1:21">
      <c r="A18" s="225" t="s">
        <v>57</v>
      </c>
      <c r="B18" s="213" t="s">
        <v>22</v>
      </c>
      <c r="C18" s="214" t="s">
        <v>23</v>
      </c>
      <c r="D18" s="214" t="s">
        <v>58</v>
      </c>
      <c r="E18" s="213">
        <v>0</v>
      </c>
      <c r="F18" s="214">
        <v>21318</v>
      </c>
      <c r="G18" s="220"/>
      <c r="H18" s="216">
        <v>0</v>
      </c>
      <c r="I18" s="214">
        <v>744</v>
      </c>
      <c r="J18" s="214">
        <v>2</v>
      </c>
      <c r="K18" s="214"/>
      <c r="L18" s="214"/>
      <c r="M18" s="214"/>
      <c r="N18" s="214"/>
      <c r="O18" s="213"/>
      <c r="P18" s="218">
        <v>0</v>
      </c>
      <c r="Q18" s="215">
        <v>210</v>
      </c>
      <c r="R18" s="219" t="s">
        <v>25</v>
      </c>
      <c r="S18" s="219" t="s">
        <v>26</v>
      </c>
      <c r="T18" s="105">
        <f t="shared" ref="T18:T24" si="2">H18*5/25/12</f>
        <v>0</v>
      </c>
      <c r="U18" s="105">
        <f t="shared" si="1"/>
        <v>0</v>
      </c>
    </row>
    <row r="19" spans="1:21">
      <c r="A19" s="225" t="s">
        <v>59</v>
      </c>
      <c r="B19" s="213" t="s">
        <v>22</v>
      </c>
      <c r="C19" s="214" t="s">
        <v>23</v>
      </c>
      <c r="D19" s="214" t="s">
        <v>60</v>
      </c>
      <c r="E19" s="213">
        <v>15520</v>
      </c>
      <c r="F19" s="214">
        <v>26304</v>
      </c>
      <c r="G19" s="215">
        <v>358</v>
      </c>
      <c r="H19" s="216">
        <v>541.648</v>
      </c>
      <c r="I19" s="214">
        <v>918</v>
      </c>
      <c r="J19" s="214">
        <v>2</v>
      </c>
      <c r="K19" s="214">
        <v>2</v>
      </c>
      <c r="L19" s="217">
        <v>6</v>
      </c>
      <c r="M19" s="218">
        <v>2</v>
      </c>
      <c r="N19" s="217">
        <v>0</v>
      </c>
      <c r="O19" s="213"/>
      <c r="P19" s="218">
        <v>148</v>
      </c>
      <c r="Q19" s="215">
        <v>14</v>
      </c>
      <c r="R19" s="219" t="s">
        <v>25</v>
      </c>
      <c r="S19" s="219" t="s">
        <v>26</v>
      </c>
      <c r="T19" s="105">
        <f t="shared" si="2"/>
        <v>9.02746666666667</v>
      </c>
      <c r="U19" s="105">
        <f t="shared" si="1"/>
        <v>1.02746666666667</v>
      </c>
    </row>
    <row r="20" spans="1:21">
      <c r="A20" s="225" t="s">
        <v>61</v>
      </c>
      <c r="B20" s="213" t="s">
        <v>22</v>
      </c>
      <c r="C20" s="214" t="s">
        <v>23</v>
      </c>
      <c r="D20" s="214" t="s">
        <v>62</v>
      </c>
      <c r="E20" s="213">
        <v>16056</v>
      </c>
      <c r="F20" s="214">
        <v>31461</v>
      </c>
      <c r="G20" s="215">
        <v>263</v>
      </c>
      <c r="H20" s="216">
        <v>560.3544</v>
      </c>
      <c r="I20" s="214">
        <v>1098</v>
      </c>
      <c r="J20" s="214">
        <v>3</v>
      </c>
      <c r="K20" s="214">
        <v>2</v>
      </c>
      <c r="L20" s="217">
        <v>8</v>
      </c>
      <c r="M20" s="218">
        <v>4</v>
      </c>
      <c r="N20" s="217">
        <v>0</v>
      </c>
      <c r="O20" s="213"/>
      <c r="P20" s="218">
        <v>116</v>
      </c>
      <c r="Q20" s="215">
        <v>4</v>
      </c>
      <c r="R20" s="219" t="s">
        <v>25</v>
      </c>
      <c r="S20" s="219" t="s">
        <v>29</v>
      </c>
      <c r="T20" s="105">
        <f t="shared" si="2"/>
        <v>9.33924</v>
      </c>
      <c r="U20" s="105">
        <f t="shared" si="1"/>
        <v>-2.66076</v>
      </c>
    </row>
    <row r="21" spans="1:21">
      <c r="A21" s="225" t="s">
        <v>63</v>
      </c>
      <c r="B21" s="213" t="s">
        <v>22</v>
      </c>
      <c r="C21" s="214" t="s">
        <v>23</v>
      </c>
      <c r="D21" s="214" t="s">
        <v>64</v>
      </c>
      <c r="E21" s="213">
        <v>7040</v>
      </c>
      <c r="F21" s="214">
        <v>13496</v>
      </c>
      <c r="G21" s="215">
        <v>162</v>
      </c>
      <c r="H21" s="216">
        <v>245.696</v>
      </c>
      <c r="I21" s="214">
        <v>471</v>
      </c>
      <c r="J21" s="214">
        <v>2</v>
      </c>
      <c r="K21" s="214">
        <v>2</v>
      </c>
      <c r="L21" s="217">
        <v>4</v>
      </c>
      <c r="M21" s="218">
        <v>0</v>
      </c>
      <c r="N21" s="217">
        <v>0</v>
      </c>
      <c r="O21" s="213"/>
      <c r="P21" s="218">
        <v>66</v>
      </c>
      <c r="Q21" s="215" t="s">
        <v>36</v>
      </c>
      <c r="R21" s="219" t="s">
        <v>36</v>
      </c>
      <c r="S21" s="219" t="s">
        <v>36</v>
      </c>
      <c r="T21" s="105">
        <f t="shared" si="2"/>
        <v>4.09493333333333</v>
      </c>
      <c r="U21" s="105">
        <f t="shared" si="1"/>
        <v>0.0949333333333335</v>
      </c>
    </row>
    <row r="22" spans="1:21">
      <c r="A22" s="225" t="s">
        <v>65</v>
      </c>
      <c r="B22" s="213" t="s">
        <v>22</v>
      </c>
      <c r="C22" s="214" t="s">
        <v>23</v>
      </c>
      <c r="D22" s="214" t="s">
        <v>66</v>
      </c>
      <c r="E22" s="213">
        <v>11770</v>
      </c>
      <c r="F22" s="214">
        <v>21920</v>
      </c>
      <c r="G22" s="215">
        <v>440</v>
      </c>
      <c r="H22" s="216">
        <v>410.773</v>
      </c>
      <c r="I22" s="214">
        <v>765</v>
      </c>
      <c r="J22" s="214">
        <v>3</v>
      </c>
      <c r="K22" s="214">
        <v>2</v>
      </c>
      <c r="L22" s="217">
        <v>6</v>
      </c>
      <c r="M22" s="218">
        <v>2</v>
      </c>
      <c r="N22" s="217">
        <v>0</v>
      </c>
      <c r="O22" s="213"/>
      <c r="P22" s="218">
        <v>80</v>
      </c>
      <c r="Q22" s="215" t="s">
        <v>36</v>
      </c>
      <c r="R22" s="219" t="s">
        <v>25</v>
      </c>
      <c r="S22" s="219" t="s">
        <v>26</v>
      </c>
      <c r="T22" s="105">
        <f t="shared" si="2"/>
        <v>6.84621666666667</v>
      </c>
      <c r="U22" s="105">
        <f t="shared" si="1"/>
        <v>-1.15378333333333</v>
      </c>
    </row>
    <row r="23" spans="1:21">
      <c r="A23" s="225" t="s">
        <v>67</v>
      </c>
      <c r="B23" s="213" t="s">
        <v>22</v>
      </c>
      <c r="C23" s="214" t="s">
        <v>23</v>
      </c>
      <c r="D23" s="214" t="s">
        <v>68</v>
      </c>
      <c r="E23" s="213">
        <v>13038</v>
      </c>
      <c r="F23" s="214">
        <v>18109</v>
      </c>
      <c r="G23" s="215">
        <v>489</v>
      </c>
      <c r="H23" s="216">
        <v>455.0262</v>
      </c>
      <c r="I23" s="214">
        <v>632</v>
      </c>
      <c r="J23" s="214">
        <v>3</v>
      </c>
      <c r="K23" s="214">
        <v>2</v>
      </c>
      <c r="L23" s="217">
        <v>4</v>
      </c>
      <c r="M23" s="218">
        <v>4</v>
      </c>
      <c r="N23" s="217">
        <v>0</v>
      </c>
      <c r="O23" s="213"/>
      <c r="P23" s="218">
        <v>120</v>
      </c>
      <c r="Q23" s="215">
        <v>210</v>
      </c>
      <c r="R23" s="219" t="s">
        <v>25</v>
      </c>
      <c r="S23" s="219" t="s">
        <v>26</v>
      </c>
      <c r="T23" s="105">
        <f t="shared" si="2"/>
        <v>7.58377</v>
      </c>
      <c r="U23" s="105">
        <f t="shared" si="1"/>
        <v>-0.416229999999999</v>
      </c>
    </row>
    <row r="24" spans="1:21">
      <c r="A24" s="225" t="s">
        <v>69</v>
      </c>
      <c r="B24" s="213" t="s">
        <v>22</v>
      </c>
      <c r="C24" s="214" t="s">
        <v>23</v>
      </c>
      <c r="D24" s="214" t="s">
        <v>70</v>
      </c>
      <c r="E24" s="213">
        <v>7216</v>
      </c>
      <c r="F24" s="214">
        <v>13123</v>
      </c>
      <c r="G24" s="215">
        <v>489</v>
      </c>
      <c r="H24" s="216">
        <v>251.8384</v>
      </c>
      <c r="I24" s="214">
        <v>458</v>
      </c>
      <c r="J24" s="214">
        <v>2</v>
      </c>
      <c r="K24" s="214">
        <v>2</v>
      </c>
      <c r="L24" s="217">
        <v>3</v>
      </c>
      <c r="M24" s="218">
        <v>1</v>
      </c>
      <c r="N24" s="217">
        <v>0</v>
      </c>
      <c r="O24" s="213"/>
      <c r="P24" s="218">
        <v>194</v>
      </c>
      <c r="Q24" s="215" t="s">
        <v>36</v>
      </c>
      <c r="R24" s="219" t="s">
        <v>36</v>
      </c>
      <c r="S24" s="219" t="s">
        <v>36</v>
      </c>
      <c r="T24" s="105">
        <f t="shared" si="2"/>
        <v>4.19730666666667</v>
      </c>
      <c r="U24" s="105">
        <f t="shared" si="1"/>
        <v>0.197306666666667</v>
      </c>
    </row>
    <row r="25" hidden="1" spans="1:21">
      <c r="A25" s="213"/>
      <c r="B25" s="213"/>
      <c r="C25" s="213"/>
      <c r="D25" s="214"/>
      <c r="E25" s="213"/>
      <c r="F25" s="213"/>
      <c r="G25" s="221"/>
      <c r="H25" s="213"/>
      <c r="I25" s="213"/>
      <c r="J25" s="213"/>
      <c r="K25" s="213"/>
      <c r="L25" s="213"/>
      <c r="M25" s="213"/>
      <c r="N25" s="213"/>
      <c r="O25" s="213"/>
      <c r="P25" s="213"/>
      <c r="Q25" s="213"/>
      <c r="R25" s="213"/>
      <c r="S25" s="213"/>
    </row>
    <row r="26" spans="1:21">
      <c r="A26" s="213">
        <v>24</v>
      </c>
      <c r="B26" s="213" t="s">
        <v>22</v>
      </c>
      <c r="C26" s="214" t="s">
        <v>71</v>
      </c>
      <c r="D26" s="214" t="s">
        <v>72</v>
      </c>
      <c r="E26" s="213">
        <v>11665</v>
      </c>
      <c r="F26" s="214">
        <v>12550</v>
      </c>
      <c r="G26" s="219">
        <v>69</v>
      </c>
      <c r="H26" s="216">
        <v>407.1085</v>
      </c>
      <c r="I26" s="214">
        <v>438</v>
      </c>
      <c r="J26" s="214">
        <v>3</v>
      </c>
      <c r="K26" s="214">
        <v>2</v>
      </c>
      <c r="L26" s="213">
        <v>4</v>
      </c>
      <c r="M26" s="213">
        <v>2</v>
      </c>
      <c r="N26" s="213">
        <v>0</v>
      </c>
      <c r="O26" s="213">
        <v>2</v>
      </c>
      <c r="P26" s="218">
        <v>102</v>
      </c>
      <c r="Q26" s="215">
        <v>50</v>
      </c>
      <c r="R26" s="215" t="s">
        <v>25</v>
      </c>
      <c r="S26" s="215" t="s">
        <v>26</v>
      </c>
      <c r="T26" s="105">
        <f t="shared" ref="T26:T62" si="3">H26*5/25/12</f>
        <v>6.78514166666667</v>
      </c>
      <c r="U26" s="105">
        <f t="shared" ref="U26:U62" si="4">T26-L26-M26-N26-O26</f>
        <v>-1.21485833333333</v>
      </c>
    </row>
    <row r="27" spans="1:21">
      <c r="A27" s="213">
        <v>25</v>
      </c>
      <c r="B27" s="213" t="s">
        <v>22</v>
      </c>
      <c r="C27" s="214" t="s">
        <v>71</v>
      </c>
      <c r="D27" s="214" t="s">
        <v>73</v>
      </c>
      <c r="E27" s="213">
        <v>11148</v>
      </c>
      <c r="F27" s="214">
        <v>16791</v>
      </c>
      <c r="G27" s="219">
        <v>93</v>
      </c>
      <c r="H27" s="216">
        <v>389.0652</v>
      </c>
      <c r="I27" s="214">
        <v>586</v>
      </c>
      <c r="J27" s="214">
        <v>3</v>
      </c>
      <c r="K27" s="214">
        <v>2</v>
      </c>
      <c r="L27" s="213">
        <v>6</v>
      </c>
      <c r="M27" s="213">
        <v>4</v>
      </c>
      <c r="N27" s="213">
        <v>0</v>
      </c>
      <c r="O27" s="213">
        <v>4</v>
      </c>
      <c r="P27" s="218">
        <v>101</v>
      </c>
      <c r="Q27" s="215">
        <v>32</v>
      </c>
      <c r="R27" s="215" t="s">
        <v>25</v>
      </c>
      <c r="S27" s="215" t="s">
        <v>26</v>
      </c>
      <c r="T27" s="105">
        <f t="shared" si="3"/>
        <v>6.48442</v>
      </c>
      <c r="U27" s="105">
        <f t="shared" si="4"/>
        <v>-7.51558</v>
      </c>
    </row>
    <row r="28" spans="1:21">
      <c r="A28" s="213">
        <v>26</v>
      </c>
      <c r="B28" s="213" t="s">
        <v>22</v>
      </c>
      <c r="C28" s="214" t="s">
        <v>71</v>
      </c>
      <c r="D28" s="214" t="s">
        <v>74</v>
      </c>
      <c r="E28" s="213">
        <v>16304</v>
      </c>
      <c r="F28" s="214">
        <v>16304</v>
      </c>
      <c r="G28" s="219">
        <v>89</v>
      </c>
      <c r="H28" s="216">
        <v>569.0096</v>
      </c>
      <c r="I28" s="214">
        <v>569</v>
      </c>
      <c r="J28" s="214">
        <v>4</v>
      </c>
      <c r="K28" s="214">
        <v>2</v>
      </c>
      <c r="L28" s="213">
        <v>4</v>
      </c>
      <c r="M28" s="213">
        <v>2</v>
      </c>
      <c r="N28" s="213">
        <v>0</v>
      </c>
      <c r="O28" s="213">
        <v>2</v>
      </c>
      <c r="P28" s="218">
        <v>2</v>
      </c>
      <c r="Q28" s="215">
        <v>25</v>
      </c>
      <c r="R28" s="215" t="s">
        <v>25</v>
      </c>
      <c r="S28" s="215" t="s">
        <v>29</v>
      </c>
      <c r="T28" s="105">
        <f t="shared" si="3"/>
        <v>9.48349333333333</v>
      </c>
      <c r="U28" s="105">
        <f t="shared" si="4"/>
        <v>1.48349333333333</v>
      </c>
    </row>
    <row r="29" spans="1:21">
      <c r="A29" s="213">
        <v>27</v>
      </c>
      <c r="B29" s="213" t="s">
        <v>22</v>
      </c>
      <c r="C29" s="214" t="s">
        <v>71</v>
      </c>
      <c r="D29" s="214" t="s">
        <v>75</v>
      </c>
      <c r="E29" s="213">
        <v>29555</v>
      </c>
      <c r="F29" s="214">
        <v>29542</v>
      </c>
      <c r="G29" s="219">
        <v>194</v>
      </c>
      <c r="H29" s="216">
        <v>1031.4695</v>
      </c>
      <c r="I29" s="214">
        <v>1031</v>
      </c>
      <c r="J29" s="214">
        <v>3</v>
      </c>
      <c r="K29" s="214">
        <v>2</v>
      </c>
      <c r="L29" s="213">
        <v>8</v>
      </c>
      <c r="M29" s="213">
        <v>4</v>
      </c>
      <c r="N29" s="213">
        <v>0</v>
      </c>
      <c r="O29" s="213">
        <v>4</v>
      </c>
      <c r="P29" s="218">
        <v>2</v>
      </c>
      <c r="Q29" s="215" t="s">
        <v>36</v>
      </c>
      <c r="R29" s="215" t="s">
        <v>36</v>
      </c>
      <c r="S29" s="215" t="s">
        <v>36</v>
      </c>
      <c r="T29" s="105">
        <f t="shared" si="3"/>
        <v>17.1911583333333</v>
      </c>
      <c r="U29" s="105">
        <f t="shared" si="4"/>
        <v>1.19115833333333</v>
      </c>
    </row>
    <row r="30" spans="1:21">
      <c r="A30" s="213">
        <v>28</v>
      </c>
      <c r="B30" s="213" t="s">
        <v>22</v>
      </c>
      <c r="C30" s="214" t="s">
        <v>71</v>
      </c>
      <c r="D30" s="214" t="s">
        <v>76</v>
      </c>
      <c r="E30" s="213">
        <v>9440</v>
      </c>
      <c r="F30" s="214">
        <v>10630</v>
      </c>
      <c r="G30" s="219">
        <v>64</v>
      </c>
      <c r="H30" s="216">
        <v>329.456</v>
      </c>
      <c r="I30" s="214">
        <v>371</v>
      </c>
      <c r="J30" s="214">
        <v>5</v>
      </c>
      <c r="K30" s="214">
        <v>2</v>
      </c>
      <c r="L30" s="213">
        <v>4</v>
      </c>
      <c r="M30" s="213">
        <v>2</v>
      </c>
      <c r="N30" s="213">
        <v>0</v>
      </c>
      <c r="O30" s="213">
        <v>2</v>
      </c>
      <c r="P30" s="218">
        <v>32</v>
      </c>
      <c r="Q30" s="215">
        <v>61</v>
      </c>
      <c r="R30" s="215" t="s">
        <v>25</v>
      </c>
      <c r="S30" s="215" t="s">
        <v>29</v>
      </c>
      <c r="T30" s="105">
        <f t="shared" si="3"/>
        <v>5.49093333333333</v>
      </c>
      <c r="U30" s="105">
        <f t="shared" si="4"/>
        <v>-2.50906666666667</v>
      </c>
    </row>
    <row r="31" spans="1:21">
      <c r="A31" s="213">
        <v>29</v>
      </c>
      <c r="B31" s="213" t="s">
        <v>22</v>
      </c>
      <c r="C31" s="214" t="s">
        <v>71</v>
      </c>
      <c r="D31" s="214" t="s">
        <v>77</v>
      </c>
      <c r="E31" s="213">
        <v>8242</v>
      </c>
      <c r="F31" s="214">
        <v>11834</v>
      </c>
      <c r="G31" s="219">
        <v>63</v>
      </c>
      <c r="H31" s="216">
        <v>287.6458</v>
      </c>
      <c r="I31" s="214">
        <v>413</v>
      </c>
      <c r="J31" s="214">
        <v>3</v>
      </c>
      <c r="K31" s="214">
        <v>2</v>
      </c>
      <c r="L31" s="213">
        <v>4</v>
      </c>
      <c r="M31" s="213">
        <v>2</v>
      </c>
      <c r="N31" s="213">
        <v>0</v>
      </c>
      <c r="O31" s="213">
        <v>2</v>
      </c>
      <c r="P31" s="218">
        <v>156</v>
      </c>
      <c r="Q31" s="215">
        <v>31</v>
      </c>
      <c r="R31" s="215" t="s">
        <v>25</v>
      </c>
      <c r="S31" s="215" t="s">
        <v>26</v>
      </c>
      <c r="T31" s="105">
        <f t="shared" si="3"/>
        <v>4.79409666666667</v>
      </c>
      <c r="U31" s="105">
        <f t="shared" si="4"/>
        <v>-3.20590333333333</v>
      </c>
    </row>
    <row r="32" spans="1:21">
      <c r="A32" s="213">
        <v>30</v>
      </c>
      <c r="B32" s="213" t="s">
        <v>22</v>
      </c>
      <c r="C32" s="214" t="s">
        <v>71</v>
      </c>
      <c r="D32" s="214" t="s">
        <v>78</v>
      </c>
      <c r="E32" s="213">
        <v>7403</v>
      </c>
      <c r="F32" s="214">
        <v>8682</v>
      </c>
      <c r="G32" s="219">
        <v>50</v>
      </c>
      <c r="H32" s="216">
        <v>258.3647</v>
      </c>
      <c r="I32" s="214">
        <v>303</v>
      </c>
      <c r="J32" s="214">
        <v>4</v>
      </c>
      <c r="K32" s="214">
        <v>2</v>
      </c>
      <c r="L32" s="213">
        <v>4</v>
      </c>
      <c r="M32" s="213">
        <v>2</v>
      </c>
      <c r="N32" s="213">
        <v>0</v>
      </c>
      <c r="O32" s="213">
        <v>2</v>
      </c>
      <c r="P32" s="218">
        <v>102</v>
      </c>
      <c r="Q32" s="215">
        <v>58</v>
      </c>
      <c r="R32" s="215" t="s">
        <v>25</v>
      </c>
      <c r="S32" s="215" t="s">
        <v>26</v>
      </c>
      <c r="T32" s="105">
        <f t="shared" si="3"/>
        <v>4.30607833333333</v>
      </c>
      <c r="U32" s="105">
        <f t="shared" si="4"/>
        <v>-3.69392166666667</v>
      </c>
    </row>
    <row r="33" spans="1:21">
      <c r="A33" s="213">
        <v>31</v>
      </c>
      <c r="B33" s="213" t="s">
        <v>22</v>
      </c>
      <c r="C33" s="214" t="s">
        <v>71</v>
      </c>
      <c r="D33" s="214" t="s">
        <v>79</v>
      </c>
      <c r="E33" s="213">
        <v>14076</v>
      </c>
      <c r="F33" s="214">
        <v>16791</v>
      </c>
      <c r="G33" s="219">
        <v>104</v>
      </c>
      <c r="H33" s="216">
        <v>491.2524</v>
      </c>
      <c r="I33" s="214">
        <v>586</v>
      </c>
      <c r="J33" s="214">
        <v>4</v>
      </c>
      <c r="K33" s="214">
        <v>2</v>
      </c>
      <c r="L33" s="213">
        <v>8</v>
      </c>
      <c r="M33" s="213">
        <v>4</v>
      </c>
      <c r="N33" s="213">
        <v>0</v>
      </c>
      <c r="O33" s="213">
        <v>4</v>
      </c>
      <c r="P33" s="218">
        <v>38</v>
      </c>
      <c r="Q33" s="215">
        <v>18</v>
      </c>
      <c r="R33" s="215" t="s">
        <v>25</v>
      </c>
      <c r="S33" s="215" t="s">
        <v>26</v>
      </c>
      <c r="T33" s="105">
        <f t="shared" si="3"/>
        <v>8.18754</v>
      </c>
      <c r="U33" s="105">
        <f t="shared" si="4"/>
        <v>-7.81246</v>
      </c>
    </row>
    <row r="34" spans="1:21">
      <c r="A34" s="213">
        <v>32</v>
      </c>
      <c r="B34" s="213" t="s">
        <v>22</v>
      </c>
      <c r="C34" s="214" t="s">
        <v>71</v>
      </c>
      <c r="D34" s="214" t="s">
        <v>80</v>
      </c>
      <c r="E34" s="213">
        <v>9791</v>
      </c>
      <c r="F34" s="214">
        <v>10573</v>
      </c>
      <c r="G34" s="219">
        <v>98</v>
      </c>
      <c r="H34" s="216">
        <v>341.7059</v>
      </c>
      <c r="I34" s="214">
        <v>369</v>
      </c>
      <c r="J34" s="214">
        <v>3</v>
      </c>
      <c r="K34" s="214">
        <v>2</v>
      </c>
      <c r="L34" s="213">
        <v>4</v>
      </c>
      <c r="M34" s="213">
        <v>2</v>
      </c>
      <c r="N34" s="213">
        <v>0</v>
      </c>
      <c r="O34" s="213">
        <v>2</v>
      </c>
      <c r="P34" s="218">
        <v>25</v>
      </c>
      <c r="Q34" s="215">
        <v>32</v>
      </c>
      <c r="R34" s="215" t="s">
        <v>25</v>
      </c>
      <c r="S34" s="215" t="s">
        <v>26</v>
      </c>
      <c r="T34" s="105">
        <f t="shared" si="3"/>
        <v>5.69509833333333</v>
      </c>
      <c r="U34" s="105">
        <f t="shared" si="4"/>
        <v>-2.30490166666667</v>
      </c>
    </row>
    <row r="35" spans="1:21">
      <c r="A35" s="213">
        <v>33</v>
      </c>
      <c r="B35" s="213" t="s">
        <v>22</v>
      </c>
      <c r="C35" s="214" t="s">
        <v>71</v>
      </c>
      <c r="D35" s="214" t="s">
        <v>81</v>
      </c>
      <c r="E35" s="213">
        <v>9732</v>
      </c>
      <c r="F35" s="214">
        <v>11576</v>
      </c>
      <c r="G35" s="219">
        <v>74</v>
      </c>
      <c r="H35" s="216">
        <v>339.6468</v>
      </c>
      <c r="I35" s="214">
        <v>404</v>
      </c>
      <c r="J35" s="214">
        <v>3</v>
      </c>
      <c r="K35" s="214">
        <v>2</v>
      </c>
      <c r="L35" s="213">
        <v>4</v>
      </c>
      <c r="M35" s="213">
        <v>2</v>
      </c>
      <c r="N35" s="213">
        <v>0</v>
      </c>
      <c r="O35" s="213">
        <v>2</v>
      </c>
      <c r="P35" s="218">
        <v>1</v>
      </c>
      <c r="Q35" s="215">
        <v>18</v>
      </c>
      <c r="R35" s="215" t="s">
        <v>25</v>
      </c>
      <c r="S35" s="215" t="s">
        <v>29</v>
      </c>
      <c r="T35" s="105">
        <f t="shared" si="3"/>
        <v>5.66078</v>
      </c>
      <c r="U35" s="105">
        <f t="shared" si="4"/>
        <v>-2.33922</v>
      </c>
    </row>
    <row r="36" spans="1:21">
      <c r="A36" s="213">
        <v>34</v>
      </c>
      <c r="B36" s="213" t="s">
        <v>22</v>
      </c>
      <c r="C36" s="214" t="s">
        <v>71</v>
      </c>
      <c r="D36" s="214" t="s">
        <v>82</v>
      </c>
      <c r="E36" s="213">
        <v>9402</v>
      </c>
      <c r="F36" s="214">
        <v>9398</v>
      </c>
      <c r="G36" s="219">
        <v>70</v>
      </c>
      <c r="H36" s="216">
        <v>328.1298</v>
      </c>
      <c r="I36" s="214">
        <v>328</v>
      </c>
      <c r="J36" s="214">
        <v>3</v>
      </c>
      <c r="K36" s="214">
        <v>2</v>
      </c>
      <c r="L36" s="213">
        <v>4</v>
      </c>
      <c r="M36" s="213">
        <v>2</v>
      </c>
      <c r="N36" s="213">
        <v>0</v>
      </c>
      <c r="O36" s="213">
        <v>2</v>
      </c>
      <c r="P36" s="218">
        <v>56</v>
      </c>
      <c r="Q36" s="215">
        <v>12</v>
      </c>
      <c r="R36" s="215" t="s">
        <v>25</v>
      </c>
      <c r="S36" s="215" t="s">
        <v>26</v>
      </c>
      <c r="T36" s="105">
        <f t="shared" si="3"/>
        <v>5.46883</v>
      </c>
      <c r="U36" s="105">
        <f t="shared" si="4"/>
        <v>-2.53117</v>
      </c>
    </row>
    <row r="37" spans="1:21">
      <c r="A37" s="213">
        <v>35</v>
      </c>
      <c r="B37" s="213" t="s">
        <v>22</v>
      </c>
      <c r="C37" s="214" t="s">
        <v>71</v>
      </c>
      <c r="D37" s="214" t="s">
        <v>83</v>
      </c>
      <c r="E37" s="213">
        <v>9242</v>
      </c>
      <c r="F37" s="214">
        <v>12837</v>
      </c>
      <c r="G37" s="219">
        <v>67</v>
      </c>
      <c r="H37" s="216">
        <v>322.5458</v>
      </c>
      <c r="I37" s="214">
        <v>448</v>
      </c>
      <c r="J37" s="214">
        <v>2</v>
      </c>
      <c r="K37" s="214">
        <v>2</v>
      </c>
      <c r="L37" s="213">
        <v>4</v>
      </c>
      <c r="M37" s="213">
        <v>2</v>
      </c>
      <c r="N37" s="213">
        <v>0</v>
      </c>
      <c r="O37" s="213">
        <v>2</v>
      </c>
      <c r="P37" s="218">
        <v>55</v>
      </c>
      <c r="Q37" s="215">
        <v>10</v>
      </c>
      <c r="R37" s="215" t="s">
        <v>25</v>
      </c>
      <c r="S37" s="215" t="s">
        <v>26</v>
      </c>
      <c r="T37" s="105">
        <f t="shared" si="3"/>
        <v>5.37576333333333</v>
      </c>
      <c r="U37" s="105">
        <f t="shared" si="4"/>
        <v>-2.62423666666667</v>
      </c>
    </row>
    <row r="38" spans="1:21">
      <c r="A38" s="213">
        <v>36</v>
      </c>
      <c r="B38" s="213" t="s">
        <v>22</v>
      </c>
      <c r="C38" s="214" t="s">
        <v>71</v>
      </c>
      <c r="D38" s="214" t="s">
        <v>84</v>
      </c>
      <c r="E38" s="213">
        <v>7042</v>
      </c>
      <c r="F38" s="214">
        <v>9570</v>
      </c>
      <c r="G38" s="219">
        <v>44</v>
      </c>
      <c r="H38" s="216">
        <v>245.7658</v>
      </c>
      <c r="I38" s="214">
        <v>334</v>
      </c>
      <c r="J38" s="214">
        <v>4</v>
      </c>
      <c r="K38" s="214">
        <v>2</v>
      </c>
      <c r="L38" s="213">
        <v>4</v>
      </c>
      <c r="M38" s="213">
        <v>2</v>
      </c>
      <c r="N38" s="213">
        <v>0</v>
      </c>
      <c r="O38" s="213">
        <v>2</v>
      </c>
      <c r="P38" s="218">
        <v>68</v>
      </c>
      <c r="Q38" s="215">
        <v>10</v>
      </c>
      <c r="R38" s="215" t="s">
        <v>25</v>
      </c>
      <c r="S38" s="215" t="s">
        <v>26</v>
      </c>
      <c r="T38" s="105">
        <f t="shared" si="3"/>
        <v>4.09609666666667</v>
      </c>
      <c r="U38" s="105">
        <f t="shared" si="4"/>
        <v>-3.90390333333333</v>
      </c>
    </row>
    <row r="39" spans="1:21">
      <c r="A39" s="213">
        <v>37</v>
      </c>
      <c r="B39" s="213" t="s">
        <v>22</v>
      </c>
      <c r="C39" s="214" t="s">
        <v>71</v>
      </c>
      <c r="D39" s="214" t="s">
        <v>85</v>
      </c>
      <c r="E39" s="213">
        <v>7071</v>
      </c>
      <c r="F39" s="214">
        <v>9799</v>
      </c>
      <c r="G39" s="219">
        <v>54</v>
      </c>
      <c r="H39" s="216">
        <v>246.7779</v>
      </c>
      <c r="I39" s="214">
        <v>342</v>
      </c>
      <c r="J39" s="214">
        <v>3</v>
      </c>
      <c r="K39" s="214">
        <v>2</v>
      </c>
      <c r="L39" s="213">
        <v>4</v>
      </c>
      <c r="M39" s="213">
        <v>2</v>
      </c>
      <c r="N39" s="213">
        <v>0</v>
      </c>
      <c r="O39" s="213">
        <v>2</v>
      </c>
      <c r="P39" s="218">
        <v>82</v>
      </c>
      <c r="Q39" s="215">
        <v>21</v>
      </c>
      <c r="R39" s="215" t="s">
        <v>25</v>
      </c>
      <c r="S39" s="215" t="s">
        <v>26</v>
      </c>
      <c r="T39" s="105">
        <f t="shared" si="3"/>
        <v>4.112965</v>
      </c>
      <c r="U39" s="105">
        <f t="shared" si="4"/>
        <v>-3.887035</v>
      </c>
    </row>
    <row r="40" spans="1:21">
      <c r="A40" s="213">
        <v>38</v>
      </c>
      <c r="B40" s="213" t="s">
        <v>22</v>
      </c>
      <c r="C40" s="214" t="s">
        <v>71</v>
      </c>
      <c r="D40" s="214" t="s">
        <v>86</v>
      </c>
      <c r="E40" s="213">
        <v>5464</v>
      </c>
      <c r="F40" s="214">
        <v>8739</v>
      </c>
      <c r="G40" s="219">
        <v>52</v>
      </c>
      <c r="H40" s="216">
        <v>190.6936</v>
      </c>
      <c r="I40" s="214">
        <v>305</v>
      </c>
      <c r="J40" s="214">
        <v>2</v>
      </c>
      <c r="K40" s="214">
        <v>2</v>
      </c>
      <c r="L40" s="213">
        <v>4</v>
      </c>
      <c r="M40" s="213">
        <v>2</v>
      </c>
      <c r="N40" s="213">
        <v>0</v>
      </c>
      <c r="O40" s="213">
        <v>2</v>
      </c>
      <c r="P40" s="218">
        <v>152</v>
      </c>
      <c r="Q40" s="215" t="s">
        <v>36</v>
      </c>
      <c r="R40" s="215" t="s">
        <v>36</v>
      </c>
      <c r="S40" s="215" t="s">
        <v>36</v>
      </c>
      <c r="T40" s="105">
        <f t="shared" si="3"/>
        <v>3.17822666666667</v>
      </c>
      <c r="U40" s="105">
        <f t="shared" si="4"/>
        <v>-4.82177333333333</v>
      </c>
    </row>
    <row r="41" spans="1:21">
      <c r="A41" s="213">
        <v>39</v>
      </c>
      <c r="B41" s="213" t="s">
        <v>22</v>
      </c>
      <c r="C41" s="214" t="s">
        <v>71</v>
      </c>
      <c r="D41" s="214" t="s">
        <v>87</v>
      </c>
      <c r="E41" s="213">
        <v>6435</v>
      </c>
      <c r="F41" s="214">
        <v>6791</v>
      </c>
      <c r="G41" s="219">
        <v>48</v>
      </c>
      <c r="H41" s="216">
        <v>224.5815</v>
      </c>
      <c r="I41" s="214">
        <v>237</v>
      </c>
      <c r="J41" s="214">
        <v>3</v>
      </c>
      <c r="K41" s="214">
        <v>2</v>
      </c>
      <c r="L41" s="213">
        <v>4</v>
      </c>
      <c r="M41" s="213">
        <v>2</v>
      </c>
      <c r="N41" s="213">
        <v>0</v>
      </c>
      <c r="O41" s="213">
        <v>2</v>
      </c>
      <c r="P41" s="218">
        <v>154</v>
      </c>
      <c r="Q41" s="215">
        <v>18</v>
      </c>
      <c r="R41" s="215" t="s">
        <v>25</v>
      </c>
      <c r="S41" s="215" t="s">
        <v>26</v>
      </c>
      <c r="T41" s="105">
        <f t="shared" si="3"/>
        <v>3.743025</v>
      </c>
      <c r="U41" s="105">
        <f t="shared" si="4"/>
        <v>-4.256975</v>
      </c>
    </row>
    <row r="42" spans="1:21">
      <c r="A42" s="213">
        <v>40</v>
      </c>
      <c r="B42" s="213" t="s">
        <v>22</v>
      </c>
      <c r="C42" s="214" t="s">
        <v>71</v>
      </c>
      <c r="D42" s="214" t="s">
        <v>88</v>
      </c>
      <c r="E42" s="213">
        <v>6268</v>
      </c>
      <c r="F42" s="214">
        <v>7536</v>
      </c>
      <c r="G42" s="219">
        <v>43</v>
      </c>
      <c r="H42" s="216">
        <v>218.7532</v>
      </c>
      <c r="I42" s="214">
        <v>263</v>
      </c>
      <c r="J42" s="214">
        <v>2</v>
      </c>
      <c r="K42" s="214">
        <v>2</v>
      </c>
      <c r="L42" s="213">
        <v>4</v>
      </c>
      <c r="M42" s="213">
        <v>2</v>
      </c>
      <c r="N42" s="213">
        <v>0</v>
      </c>
      <c r="O42" s="213">
        <v>2</v>
      </c>
      <c r="P42" s="218">
        <v>5</v>
      </c>
      <c r="Q42" s="215">
        <v>32</v>
      </c>
      <c r="R42" s="215" t="s">
        <v>25</v>
      </c>
      <c r="S42" s="215" t="s">
        <v>26</v>
      </c>
      <c r="T42" s="105">
        <f t="shared" si="3"/>
        <v>3.64588666666667</v>
      </c>
      <c r="U42" s="105">
        <f t="shared" si="4"/>
        <v>-4.35411333333333</v>
      </c>
    </row>
    <row r="43" spans="1:21">
      <c r="A43" s="213">
        <v>41</v>
      </c>
      <c r="B43" s="213" t="s">
        <v>22</v>
      </c>
      <c r="C43" s="214" t="s">
        <v>71</v>
      </c>
      <c r="D43" s="214" t="s">
        <v>89</v>
      </c>
      <c r="E43" s="213">
        <v>8751</v>
      </c>
      <c r="F43" s="214">
        <v>12321</v>
      </c>
      <c r="G43" s="219">
        <v>74</v>
      </c>
      <c r="H43" s="216">
        <v>305.4099</v>
      </c>
      <c r="I43" s="214">
        <v>430</v>
      </c>
      <c r="J43" s="214">
        <v>2</v>
      </c>
      <c r="K43" s="214">
        <v>2</v>
      </c>
      <c r="L43" s="213">
        <v>4</v>
      </c>
      <c r="M43" s="213">
        <v>2</v>
      </c>
      <c r="N43" s="213">
        <v>0</v>
      </c>
      <c r="O43" s="213">
        <v>2</v>
      </c>
      <c r="P43" s="218">
        <v>128</v>
      </c>
      <c r="Q43" s="215" t="s">
        <v>36</v>
      </c>
      <c r="R43" s="215" t="s">
        <v>36</v>
      </c>
      <c r="S43" s="215" t="s">
        <v>36</v>
      </c>
      <c r="T43" s="105">
        <f t="shared" si="3"/>
        <v>5.090165</v>
      </c>
      <c r="U43" s="105">
        <f t="shared" si="4"/>
        <v>-2.909835</v>
      </c>
    </row>
    <row r="44" spans="1:21">
      <c r="A44" s="213">
        <v>42</v>
      </c>
      <c r="B44" s="213" t="s">
        <v>22</v>
      </c>
      <c r="C44" s="214" t="s">
        <v>71</v>
      </c>
      <c r="D44" s="214" t="s">
        <v>90</v>
      </c>
      <c r="E44" s="213">
        <v>10230</v>
      </c>
      <c r="F44" s="214">
        <v>13782</v>
      </c>
      <c r="G44" s="219">
        <v>82</v>
      </c>
      <c r="H44" s="216">
        <v>357.027</v>
      </c>
      <c r="I44" s="214">
        <v>481</v>
      </c>
      <c r="J44" s="214">
        <v>3</v>
      </c>
      <c r="K44" s="214">
        <v>2</v>
      </c>
      <c r="L44" s="213">
        <v>4</v>
      </c>
      <c r="M44" s="213">
        <v>2</v>
      </c>
      <c r="N44" s="213">
        <v>0</v>
      </c>
      <c r="O44" s="213">
        <v>2</v>
      </c>
      <c r="P44" s="218">
        <v>28</v>
      </c>
      <c r="Q44" s="215">
        <v>12</v>
      </c>
      <c r="R44" s="215" t="s">
        <v>25</v>
      </c>
      <c r="S44" s="215" t="s">
        <v>26</v>
      </c>
      <c r="T44" s="105">
        <f t="shared" si="3"/>
        <v>5.95045</v>
      </c>
      <c r="U44" s="105">
        <f t="shared" si="4"/>
        <v>-2.04955</v>
      </c>
    </row>
    <row r="45" spans="1:21">
      <c r="A45" s="213">
        <v>43</v>
      </c>
      <c r="B45" s="213" t="s">
        <v>22</v>
      </c>
      <c r="C45" s="214" t="s">
        <v>71</v>
      </c>
      <c r="D45" s="214" t="s">
        <v>91</v>
      </c>
      <c r="E45" s="213">
        <v>10941</v>
      </c>
      <c r="F45" s="214">
        <v>14212</v>
      </c>
      <c r="G45" s="219">
        <v>88</v>
      </c>
      <c r="H45" s="216">
        <v>381.8409</v>
      </c>
      <c r="I45" s="214">
        <v>496</v>
      </c>
      <c r="J45" s="214">
        <v>3</v>
      </c>
      <c r="K45" s="214">
        <v>2</v>
      </c>
      <c r="L45" s="213">
        <v>4</v>
      </c>
      <c r="M45" s="213">
        <v>2</v>
      </c>
      <c r="N45" s="213">
        <v>0</v>
      </c>
      <c r="O45" s="213">
        <v>2</v>
      </c>
      <c r="P45" s="218">
        <v>82</v>
      </c>
      <c r="Q45" s="215">
        <v>25</v>
      </c>
      <c r="R45" s="215" t="s">
        <v>25</v>
      </c>
      <c r="S45" s="215" t="s">
        <v>26</v>
      </c>
      <c r="T45" s="105">
        <f t="shared" si="3"/>
        <v>6.364015</v>
      </c>
      <c r="U45" s="105">
        <f t="shared" si="4"/>
        <v>-1.635985</v>
      </c>
    </row>
    <row r="46" spans="1:21">
      <c r="A46" s="213">
        <v>44</v>
      </c>
      <c r="B46" s="213" t="s">
        <v>22</v>
      </c>
      <c r="C46" s="214" t="s">
        <v>71</v>
      </c>
      <c r="D46" s="214" t="s">
        <v>92</v>
      </c>
      <c r="E46" s="213">
        <v>9989</v>
      </c>
      <c r="F46" s="214">
        <v>14097</v>
      </c>
      <c r="G46" s="219">
        <v>73</v>
      </c>
      <c r="H46" s="216">
        <v>348.6161</v>
      </c>
      <c r="I46" s="214">
        <v>492</v>
      </c>
      <c r="J46" s="214">
        <v>5</v>
      </c>
      <c r="K46" s="214">
        <v>2</v>
      </c>
      <c r="L46" s="213">
        <v>4</v>
      </c>
      <c r="M46" s="213">
        <v>2</v>
      </c>
      <c r="N46" s="213">
        <v>0</v>
      </c>
      <c r="O46" s="213">
        <v>2</v>
      </c>
      <c r="P46" s="218">
        <v>40</v>
      </c>
      <c r="Q46" s="215">
        <v>36</v>
      </c>
      <c r="R46" s="215" t="s">
        <v>25</v>
      </c>
      <c r="S46" s="215" t="s">
        <v>26</v>
      </c>
      <c r="T46" s="105">
        <f t="shared" si="3"/>
        <v>5.81026833333333</v>
      </c>
      <c r="U46" s="105">
        <f t="shared" si="4"/>
        <v>-2.18973166666667</v>
      </c>
    </row>
    <row r="47" spans="1:21">
      <c r="A47" s="213">
        <v>45</v>
      </c>
      <c r="B47" s="213" t="s">
        <v>22</v>
      </c>
      <c r="C47" s="214" t="s">
        <v>71</v>
      </c>
      <c r="D47" s="214" t="s">
        <v>93</v>
      </c>
      <c r="E47" s="213">
        <v>8035</v>
      </c>
      <c r="F47" s="214">
        <v>8625</v>
      </c>
      <c r="G47" s="219">
        <v>63</v>
      </c>
      <c r="H47" s="216">
        <v>280.4215</v>
      </c>
      <c r="I47" s="214">
        <v>301</v>
      </c>
      <c r="J47" s="214">
        <v>4</v>
      </c>
      <c r="K47" s="214">
        <v>2</v>
      </c>
      <c r="L47" s="213">
        <v>4</v>
      </c>
      <c r="M47" s="213">
        <v>2</v>
      </c>
      <c r="N47" s="213">
        <v>0</v>
      </c>
      <c r="O47" s="213">
        <v>2</v>
      </c>
      <c r="P47" s="218">
        <v>56</v>
      </c>
      <c r="Q47" s="215">
        <v>15</v>
      </c>
      <c r="R47" s="215" t="s">
        <v>25</v>
      </c>
      <c r="S47" s="215" t="s">
        <v>26</v>
      </c>
      <c r="T47" s="105">
        <f t="shared" si="3"/>
        <v>4.67369166666667</v>
      </c>
      <c r="U47" s="105">
        <f t="shared" si="4"/>
        <v>-3.32630833333333</v>
      </c>
    </row>
    <row r="48" spans="1:21">
      <c r="A48" s="213">
        <v>46</v>
      </c>
      <c r="B48" s="213" t="s">
        <v>22</v>
      </c>
      <c r="C48" s="214" t="s">
        <v>71</v>
      </c>
      <c r="D48" s="214" t="s">
        <v>94</v>
      </c>
      <c r="E48" s="213">
        <v>6038</v>
      </c>
      <c r="F48" s="214">
        <v>8338</v>
      </c>
      <c r="G48" s="219">
        <v>58</v>
      </c>
      <c r="H48" s="216">
        <v>210.7262</v>
      </c>
      <c r="I48" s="214">
        <v>291</v>
      </c>
      <c r="J48" s="214">
        <v>2</v>
      </c>
      <c r="K48" s="214">
        <v>2</v>
      </c>
      <c r="L48" s="213">
        <v>4</v>
      </c>
      <c r="M48" s="213">
        <v>2</v>
      </c>
      <c r="N48" s="213">
        <v>0</v>
      </c>
      <c r="O48" s="213">
        <v>2</v>
      </c>
      <c r="P48" s="218">
        <v>72</v>
      </c>
      <c r="Q48" s="215">
        <v>18</v>
      </c>
      <c r="R48" s="215" t="s">
        <v>25</v>
      </c>
      <c r="S48" s="215" t="s">
        <v>26</v>
      </c>
      <c r="T48" s="105">
        <f t="shared" si="3"/>
        <v>3.51210333333333</v>
      </c>
      <c r="U48" s="105">
        <f t="shared" si="4"/>
        <v>-4.48789666666667</v>
      </c>
    </row>
    <row r="49" spans="1:21">
      <c r="A49" s="213">
        <v>47</v>
      </c>
      <c r="B49" s="213" t="s">
        <v>22</v>
      </c>
      <c r="C49" s="214" t="s">
        <v>71</v>
      </c>
      <c r="D49" s="214" t="s">
        <v>95</v>
      </c>
      <c r="E49" s="213">
        <v>6063</v>
      </c>
      <c r="F49" s="214">
        <v>8395</v>
      </c>
      <c r="G49" s="219">
        <v>41</v>
      </c>
      <c r="H49" s="216">
        <v>211.5987</v>
      </c>
      <c r="I49" s="214">
        <v>293</v>
      </c>
      <c r="J49" s="214">
        <v>2</v>
      </c>
      <c r="K49" s="214">
        <v>2</v>
      </c>
      <c r="L49" s="213">
        <v>4</v>
      </c>
      <c r="M49" s="213">
        <v>2</v>
      </c>
      <c r="N49" s="213">
        <v>0</v>
      </c>
      <c r="O49" s="213">
        <v>2</v>
      </c>
      <c r="P49" s="218">
        <v>58</v>
      </c>
      <c r="Q49" s="215">
        <v>25</v>
      </c>
      <c r="R49" s="215" t="s">
        <v>25</v>
      </c>
      <c r="S49" s="215" t="s">
        <v>26</v>
      </c>
      <c r="T49" s="105">
        <f t="shared" si="3"/>
        <v>3.526645</v>
      </c>
      <c r="U49" s="105">
        <f t="shared" si="4"/>
        <v>-4.473355</v>
      </c>
    </row>
    <row r="50" spans="1:21">
      <c r="A50" s="213">
        <v>48</v>
      </c>
      <c r="B50" s="213" t="s">
        <v>22</v>
      </c>
      <c r="C50" s="214" t="s">
        <v>71</v>
      </c>
      <c r="D50" s="214" t="s">
        <v>96</v>
      </c>
      <c r="E50" s="213">
        <v>8384</v>
      </c>
      <c r="F50" s="214">
        <v>11117</v>
      </c>
      <c r="G50" s="219">
        <v>61</v>
      </c>
      <c r="H50" s="216">
        <v>292.6016</v>
      </c>
      <c r="I50" s="214">
        <v>388</v>
      </c>
      <c r="J50" s="214">
        <v>4</v>
      </c>
      <c r="K50" s="214">
        <v>2</v>
      </c>
      <c r="L50" s="213">
        <v>4</v>
      </c>
      <c r="M50" s="213">
        <v>2</v>
      </c>
      <c r="N50" s="213">
        <v>0</v>
      </c>
      <c r="O50" s="213">
        <v>2</v>
      </c>
      <c r="P50" s="218">
        <v>28</v>
      </c>
      <c r="Q50" s="215">
        <v>10</v>
      </c>
      <c r="R50" s="215" t="s">
        <v>25</v>
      </c>
      <c r="S50" s="215" t="s">
        <v>26</v>
      </c>
      <c r="T50" s="105">
        <f t="shared" si="3"/>
        <v>4.87669333333333</v>
      </c>
      <c r="U50" s="105">
        <f t="shared" si="4"/>
        <v>-3.12330666666667</v>
      </c>
    </row>
    <row r="51" spans="1:21">
      <c r="A51" s="213">
        <v>49</v>
      </c>
      <c r="B51" s="213" t="s">
        <v>22</v>
      </c>
      <c r="C51" s="214" t="s">
        <v>71</v>
      </c>
      <c r="D51" s="214" t="s">
        <v>97</v>
      </c>
      <c r="E51" s="213">
        <v>7018</v>
      </c>
      <c r="F51" s="214">
        <v>8968</v>
      </c>
      <c r="G51" s="219">
        <v>49</v>
      </c>
      <c r="H51" s="216">
        <v>244.9282</v>
      </c>
      <c r="I51" s="214">
        <v>313</v>
      </c>
      <c r="J51" s="214">
        <v>3</v>
      </c>
      <c r="K51" s="214">
        <v>2</v>
      </c>
      <c r="L51" s="213">
        <v>4</v>
      </c>
      <c r="M51" s="213">
        <v>2</v>
      </c>
      <c r="N51" s="213">
        <v>0</v>
      </c>
      <c r="O51" s="213">
        <v>2</v>
      </c>
      <c r="P51" s="218">
        <v>76</v>
      </c>
      <c r="Q51" s="215">
        <v>12</v>
      </c>
      <c r="R51" s="215" t="s">
        <v>25</v>
      </c>
      <c r="S51" s="215" t="s">
        <v>26</v>
      </c>
      <c r="T51" s="105">
        <f t="shared" si="3"/>
        <v>4.08213666666667</v>
      </c>
      <c r="U51" s="105">
        <f t="shared" si="4"/>
        <v>-3.91786333333333</v>
      </c>
    </row>
    <row r="52" spans="1:21">
      <c r="A52" s="213">
        <v>50</v>
      </c>
      <c r="B52" s="213" t="s">
        <v>22</v>
      </c>
      <c r="C52" s="214" t="s">
        <v>71</v>
      </c>
      <c r="D52" s="214" t="s">
        <v>98</v>
      </c>
      <c r="E52" s="213">
        <v>6992</v>
      </c>
      <c r="F52" s="214">
        <v>8883</v>
      </c>
      <c r="G52" s="219">
        <v>64</v>
      </c>
      <c r="H52" s="216">
        <v>244.0208</v>
      </c>
      <c r="I52" s="214">
        <v>310</v>
      </c>
      <c r="J52" s="214">
        <v>5</v>
      </c>
      <c r="K52" s="214">
        <v>2</v>
      </c>
      <c r="L52" s="213">
        <v>4</v>
      </c>
      <c r="M52" s="213">
        <v>2</v>
      </c>
      <c r="N52" s="213">
        <v>0</v>
      </c>
      <c r="O52" s="213">
        <v>2</v>
      </c>
      <c r="P52" s="218">
        <v>68</v>
      </c>
      <c r="Q52" s="215">
        <v>19</v>
      </c>
      <c r="R52" s="215" t="s">
        <v>25</v>
      </c>
      <c r="S52" s="215" t="s">
        <v>26</v>
      </c>
      <c r="T52" s="105">
        <f t="shared" si="3"/>
        <v>4.06701333333333</v>
      </c>
      <c r="U52" s="105">
        <f t="shared" si="4"/>
        <v>-3.93298666666667</v>
      </c>
    </row>
    <row r="53" spans="1:21">
      <c r="A53" s="213">
        <v>51</v>
      </c>
      <c r="B53" s="213" t="s">
        <v>22</v>
      </c>
      <c r="C53" s="214" t="s">
        <v>71</v>
      </c>
      <c r="D53" s="214" t="s">
        <v>99</v>
      </c>
      <c r="E53" s="213">
        <v>6139</v>
      </c>
      <c r="F53" s="214">
        <v>6132</v>
      </c>
      <c r="G53" s="219">
        <v>50</v>
      </c>
      <c r="H53" s="216">
        <v>214.2511</v>
      </c>
      <c r="I53" s="214">
        <v>214</v>
      </c>
      <c r="J53" s="214">
        <v>2</v>
      </c>
      <c r="K53" s="214">
        <v>2</v>
      </c>
      <c r="L53" s="213">
        <v>4</v>
      </c>
      <c r="M53" s="213">
        <v>2</v>
      </c>
      <c r="N53" s="213">
        <v>0</v>
      </c>
      <c r="O53" s="213">
        <v>2</v>
      </c>
      <c r="P53" s="218">
        <v>45</v>
      </c>
      <c r="Q53" s="215">
        <v>10</v>
      </c>
      <c r="R53" s="215" t="s">
        <v>25</v>
      </c>
      <c r="S53" s="215" t="s">
        <v>26</v>
      </c>
      <c r="T53" s="105">
        <f t="shared" si="3"/>
        <v>3.57085166666667</v>
      </c>
      <c r="U53" s="105">
        <f t="shared" si="4"/>
        <v>-4.42914833333333</v>
      </c>
    </row>
    <row r="54" spans="1:21">
      <c r="A54" s="213">
        <v>52</v>
      </c>
      <c r="B54" s="213" t="s">
        <v>22</v>
      </c>
      <c r="C54" s="214" t="s">
        <v>71</v>
      </c>
      <c r="D54" s="214" t="s">
        <v>100</v>
      </c>
      <c r="E54" s="213">
        <v>31338</v>
      </c>
      <c r="F54" s="214">
        <v>31347</v>
      </c>
      <c r="G54" s="219">
        <v>189</v>
      </c>
      <c r="H54" s="216">
        <v>1093.6962</v>
      </c>
      <c r="I54" s="214">
        <v>1094</v>
      </c>
      <c r="J54" s="214">
        <v>7</v>
      </c>
      <c r="K54" s="214">
        <v>2</v>
      </c>
      <c r="L54" s="213">
        <v>8</v>
      </c>
      <c r="M54" s="213">
        <v>8</v>
      </c>
      <c r="N54" s="213">
        <v>0</v>
      </c>
      <c r="O54" s="213">
        <v>4</v>
      </c>
      <c r="P54" s="218">
        <v>2</v>
      </c>
      <c r="Q54" s="215">
        <v>20</v>
      </c>
      <c r="R54" s="215" t="s">
        <v>25</v>
      </c>
      <c r="S54" s="215" t="s">
        <v>29</v>
      </c>
      <c r="T54" s="105">
        <f t="shared" si="3"/>
        <v>18.22827</v>
      </c>
      <c r="U54" s="105">
        <f t="shared" si="4"/>
        <v>-1.77173</v>
      </c>
    </row>
    <row r="55" spans="1:21">
      <c r="A55" s="213">
        <v>53</v>
      </c>
      <c r="B55" s="213" t="s">
        <v>22</v>
      </c>
      <c r="C55" s="214" t="s">
        <v>71</v>
      </c>
      <c r="D55" s="214" t="s">
        <v>101</v>
      </c>
      <c r="E55" s="213">
        <v>10997</v>
      </c>
      <c r="F55" s="214">
        <v>13181</v>
      </c>
      <c r="G55" s="219">
        <v>182</v>
      </c>
      <c r="H55" s="216">
        <v>383.7953</v>
      </c>
      <c r="I55" s="214">
        <v>460</v>
      </c>
      <c r="J55" s="214">
        <v>3</v>
      </c>
      <c r="K55" s="214"/>
      <c r="L55" s="213">
        <v>4</v>
      </c>
      <c r="M55" s="213">
        <v>2</v>
      </c>
      <c r="N55" s="213">
        <v>0</v>
      </c>
      <c r="O55" s="213">
        <v>2</v>
      </c>
      <c r="P55" s="218">
        <v>88</v>
      </c>
      <c r="Q55" s="215">
        <v>32</v>
      </c>
      <c r="R55" s="215" t="s">
        <v>25</v>
      </c>
      <c r="S55" s="215" t="s">
        <v>26</v>
      </c>
      <c r="T55" s="105">
        <f t="shared" si="3"/>
        <v>6.39658833333333</v>
      </c>
      <c r="U55" s="105">
        <f t="shared" si="4"/>
        <v>-1.60341166666667</v>
      </c>
    </row>
    <row r="56" spans="1:21">
      <c r="A56" s="213">
        <v>54</v>
      </c>
      <c r="B56" s="213" t="s">
        <v>22</v>
      </c>
      <c r="C56" s="214" t="s">
        <v>71</v>
      </c>
      <c r="D56" s="214" t="s">
        <v>102</v>
      </c>
      <c r="E56" s="213">
        <v>24502</v>
      </c>
      <c r="F56" s="214">
        <v>21032</v>
      </c>
      <c r="G56" s="219">
        <v>181</v>
      </c>
      <c r="H56" s="216">
        <v>855.1198</v>
      </c>
      <c r="I56" s="214">
        <v>734</v>
      </c>
      <c r="J56" s="214">
        <v>9</v>
      </c>
      <c r="K56" s="214">
        <v>2</v>
      </c>
      <c r="L56" s="213">
        <v>4</v>
      </c>
      <c r="M56" s="213">
        <v>2</v>
      </c>
      <c r="N56" s="213">
        <v>0</v>
      </c>
      <c r="O56" s="213">
        <v>2</v>
      </c>
      <c r="P56" s="218">
        <v>74</v>
      </c>
      <c r="Q56" s="215">
        <v>25</v>
      </c>
      <c r="R56" s="215" t="s">
        <v>25</v>
      </c>
      <c r="S56" s="215" t="s">
        <v>29</v>
      </c>
      <c r="T56" s="105">
        <f t="shared" si="3"/>
        <v>14.2519966666667</v>
      </c>
      <c r="U56" s="105">
        <f t="shared" si="4"/>
        <v>6.25199666666667</v>
      </c>
    </row>
    <row r="57" spans="1:21">
      <c r="A57" s="213">
        <v>55</v>
      </c>
      <c r="B57" s="213" t="s">
        <v>22</v>
      </c>
      <c r="C57" s="214" t="s">
        <v>71</v>
      </c>
      <c r="D57" s="214" t="s">
        <v>103</v>
      </c>
      <c r="E57" s="213">
        <v>9611</v>
      </c>
      <c r="F57" s="214">
        <v>18195</v>
      </c>
      <c r="G57" s="219">
        <v>83</v>
      </c>
      <c r="H57" s="216">
        <v>335.4239</v>
      </c>
      <c r="I57" s="214">
        <v>635</v>
      </c>
      <c r="J57" s="214">
        <v>3</v>
      </c>
      <c r="K57" s="214">
        <v>2</v>
      </c>
      <c r="L57" s="213">
        <v>4</v>
      </c>
      <c r="M57" s="213">
        <v>2</v>
      </c>
      <c r="N57" s="213">
        <v>0</v>
      </c>
      <c r="O57" s="213">
        <v>2</v>
      </c>
      <c r="P57" s="218">
        <v>28</v>
      </c>
      <c r="Q57" s="215">
        <v>18</v>
      </c>
      <c r="R57" s="215" t="s">
        <v>25</v>
      </c>
      <c r="S57" s="215" t="s">
        <v>26</v>
      </c>
      <c r="T57" s="105">
        <f t="shared" si="3"/>
        <v>5.59039833333333</v>
      </c>
      <c r="U57" s="105">
        <f t="shared" si="4"/>
        <v>-2.40960166666667</v>
      </c>
    </row>
    <row r="58" spans="1:21">
      <c r="A58" s="213">
        <v>56</v>
      </c>
      <c r="B58" s="213" t="s">
        <v>22</v>
      </c>
      <c r="C58" s="214" t="s">
        <v>71</v>
      </c>
      <c r="D58" s="214" t="s">
        <v>104</v>
      </c>
      <c r="E58" s="213">
        <v>8860</v>
      </c>
      <c r="F58" s="214">
        <v>8883</v>
      </c>
      <c r="G58" s="219">
        <v>52</v>
      </c>
      <c r="H58" s="216">
        <v>309.214</v>
      </c>
      <c r="I58" s="214">
        <v>310</v>
      </c>
      <c r="J58" s="214">
        <v>2</v>
      </c>
      <c r="K58" s="214">
        <v>2</v>
      </c>
      <c r="L58" s="213">
        <v>4</v>
      </c>
      <c r="M58" s="213">
        <v>2</v>
      </c>
      <c r="N58" s="213">
        <v>0</v>
      </c>
      <c r="O58" s="213">
        <v>2</v>
      </c>
      <c r="P58" s="218">
        <v>100</v>
      </c>
      <c r="Q58" s="215">
        <v>14</v>
      </c>
      <c r="R58" s="215" t="s">
        <v>25</v>
      </c>
      <c r="S58" s="215" t="s">
        <v>26</v>
      </c>
      <c r="T58" s="105">
        <f t="shared" si="3"/>
        <v>5.15356666666667</v>
      </c>
      <c r="U58" s="105">
        <f t="shared" si="4"/>
        <v>-2.84643333333333</v>
      </c>
    </row>
    <row r="59" spans="1:21">
      <c r="A59" s="213">
        <v>57</v>
      </c>
      <c r="B59" s="213" t="s">
        <v>22</v>
      </c>
      <c r="C59" s="214" t="s">
        <v>71</v>
      </c>
      <c r="D59" s="214" t="s">
        <v>105</v>
      </c>
      <c r="E59" s="213">
        <v>7984</v>
      </c>
      <c r="F59" s="214">
        <v>10229</v>
      </c>
      <c r="G59" s="219">
        <v>81</v>
      </c>
      <c r="H59" s="216">
        <v>278.6416</v>
      </c>
      <c r="I59" s="214">
        <v>357</v>
      </c>
      <c r="J59" s="214">
        <v>5</v>
      </c>
      <c r="K59" s="214">
        <v>2</v>
      </c>
      <c r="L59" s="213">
        <v>4</v>
      </c>
      <c r="M59" s="213">
        <v>2</v>
      </c>
      <c r="N59" s="213">
        <v>0</v>
      </c>
      <c r="O59" s="213">
        <v>2</v>
      </c>
      <c r="P59" s="218">
        <v>32</v>
      </c>
      <c r="Q59" s="215" t="s">
        <v>36</v>
      </c>
      <c r="R59" s="215" t="s">
        <v>36</v>
      </c>
      <c r="S59" s="215" t="s">
        <v>36</v>
      </c>
      <c r="T59" s="105">
        <f t="shared" si="3"/>
        <v>4.64402666666667</v>
      </c>
      <c r="U59" s="105">
        <f t="shared" si="4"/>
        <v>-3.35597333333333</v>
      </c>
    </row>
    <row r="60" spans="1:21">
      <c r="A60" s="213">
        <v>58</v>
      </c>
      <c r="B60" s="213" t="s">
        <v>22</v>
      </c>
      <c r="C60" s="214" t="s">
        <v>71</v>
      </c>
      <c r="D60" s="214" t="s">
        <v>106</v>
      </c>
      <c r="E60" s="213">
        <v>10232</v>
      </c>
      <c r="F60" s="214">
        <v>10229</v>
      </c>
      <c r="G60" s="219">
        <v>81</v>
      </c>
      <c r="H60" s="216">
        <v>357.0968</v>
      </c>
      <c r="I60" s="214">
        <v>357</v>
      </c>
      <c r="J60" s="214">
        <v>3</v>
      </c>
      <c r="K60" s="214">
        <v>2</v>
      </c>
      <c r="L60" s="213">
        <v>4</v>
      </c>
      <c r="M60" s="213">
        <v>2</v>
      </c>
      <c r="N60" s="213">
        <v>0</v>
      </c>
      <c r="O60" s="213">
        <v>2</v>
      </c>
      <c r="P60" s="218">
        <v>32</v>
      </c>
      <c r="Q60" s="215">
        <v>27</v>
      </c>
      <c r="R60" s="215" t="s">
        <v>25</v>
      </c>
      <c r="S60" s="215" t="s">
        <v>26</v>
      </c>
      <c r="T60" s="105">
        <f t="shared" si="3"/>
        <v>5.95161333333333</v>
      </c>
      <c r="U60" s="105">
        <f t="shared" si="4"/>
        <v>-2.04838666666667</v>
      </c>
    </row>
    <row r="61" spans="1:21">
      <c r="A61" s="213">
        <v>59</v>
      </c>
      <c r="B61" s="213" t="s">
        <v>22</v>
      </c>
      <c r="C61" s="214" t="s">
        <v>71</v>
      </c>
      <c r="D61" s="214" t="s">
        <v>107</v>
      </c>
      <c r="E61" s="213">
        <v>8813</v>
      </c>
      <c r="F61" s="214">
        <v>10229</v>
      </c>
      <c r="G61" s="219">
        <v>85</v>
      </c>
      <c r="H61" s="216">
        <v>307.5737</v>
      </c>
      <c r="I61" s="214">
        <v>357</v>
      </c>
      <c r="J61" s="214">
        <v>3</v>
      </c>
      <c r="K61" s="214">
        <v>2</v>
      </c>
      <c r="L61" s="213">
        <v>4</v>
      </c>
      <c r="M61" s="213">
        <v>2</v>
      </c>
      <c r="N61" s="213">
        <v>0</v>
      </c>
      <c r="O61" s="213">
        <v>2</v>
      </c>
      <c r="P61" s="218">
        <v>45</v>
      </c>
      <c r="Q61" s="215">
        <v>12</v>
      </c>
      <c r="R61" s="215" t="s">
        <v>25</v>
      </c>
      <c r="S61" s="215" t="s">
        <v>26</v>
      </c>
      <c r="T61" s="105">
        <f t="shared" si="3"/>
        <v>5.12622833333333</v>
      </c>
      <c r="U61" s="105">
        <f t="shared" si="4"/>
        <v>-2.87377166666667</v>
      </c>
    </row>
    <row r="62" spans="1:21">
      <c r="A62" s="213">
        <v>60</v>
      </c>
      <c r="B62" s="213" t="s">
        <v>22</v>
      </c>
      <c r="C62" s="214" t="s">
        <v>71</v>
      </c>
      <c r="D62" s="214" t="s">
        <v>108</v>
      </c>
      <c r="E62" s="213">
        <v>6827</v>
      </c>
      <c r="F62" s="214">
        <v>10229</v>
      </c>
      <c r="G62" s="219">
        <v>45</v>
      </c>
      <c r="H62" s="216">
        <v>238.2623</v>
      </c>
      <c r="I62" s="214">
        <v>357</v>
      </c>
      <c r="J62" s="214">
        <v>2</v>
      </c>
      <c r="K62" s="214">
        <v>2</v>
      </c>
      <c r="L62" s="213">
        <v>4</v>
      </c>
      <c r="M62" s="213">
        <v>2</v>
      </c>
      <c r="N62" s="213">
        <v>0</v>
      </c>
      <c r="O62" s="213">
        <v>2</v>
      </c>
      <c r="P62" s="218">
        <v>28</v>
      </c>
      <c r="Q62" s="215">
        <v>12</v>
      </c>
      <c r="R62" s="215" t="s">
        <v>25</v>
      </c>
      <c r="S62" s="215" t="s">
        <v>26</v>
      </c>
      <c r="T62" s="105">
        <f t="shared" si="3"/>
        <v>3.97103833333333</v>
      </c>
      <c r="U62" s="105">
        <f t="shared" si="4"/>
        <v>-4.02896166666667</v>
      </c>
    </row>
    <row r="63" hidden="1" spans="1:21">
      <c r="A63" s="213"/>
      <c r="B63" s="213"/>
      <c r="C63" s="213"/>
      <c r="D63" s="214"/>
      <c r="E63" s="213"/>
      <c r="F63" s="213"/>
      <c r="G63" s="221"/>
      <c r="H63" s="216"/>
      <c r="I63" s="213"/>
      <c r="J63" s="213"/>
      <c r="K63" s="213"/>
      <c r="L63" s="213"/>
      <c r="M63" s="213"/>
      <c r="N63" s="213"/>
      <c r="O63" s="213"/>
      <c r="P63" s="213"/>
      <c r="Q63" s="213"/>
      <c r="R63" s="213"/>
      <c r="S63" s="213"/>
    </row>
    <row r="64" hidden="1" spans="1:21">
      <c r="A64" s="213">
        <v>62</v>
      </c>
      <c r="B64" s="213" t="s">
        <v>109</v>
      </c>
      <c r="C64" s="214" t="s">
        <v>110</v>
      </c>
      <c r="D64" s="214" t="s">
        <v>111</v>
      </c>
      <c r="E64" s="213">
        <v>10313</v>
      </c>
      <c r="F64" s="214">
        <v>13954</v>
      </c>
      <c r="G64" s="219">
        <v>794</v>
      </c>
      <c r="H64" s="216">
        <v>359.9237</v>
      </c>
      <c r="I64" s="214">
        <v>487</v>
      </c>
      <c r="J64" s="214">
        <v>3</v>
      </c>
      <c r="K64" s="214">
        <v>2</v>
      </c>
      <c r="L64" s="217">
        <v>6</v>
      </c>
      <c r="M64" s="217">
        <v>2</v>
      </c>
      <c r="N64" s="217">
        <v>0</v>
      </c>
      <c r="O64" s="213"/>
      <c r="P64" s="214">
        <v>55</v>
      </c>
      <c r="Q64" s="215">
        <v>5</v>
      </c>
      <c r="R64" s="215" t="s">
        <v>25</v>
      </c>
      <c r="S64" s="215" t="s">
        <v>26</v>
      </c>
    </row>
    <row r="65" hidden="1" spans="1:19">
      <c r="A65" s="213">
        <v>63</v>
      </c>
      <c r="B65" s="213" t="s">
        <v>109</v>
      </c>
      <c r="C65" s="214" t="s">
        <v>110</v>
      </c>
      <c r="D65" s="214" t="s">
        <v>112</v>
      </c>
      <c r="E65" s="213">
        <v>11831</v>
      </c>
      <c r="F65" s="214">
        <v>15874</v>
      </c>
      <c r="G65" s="219">
        <v>9649</v>
      </c>
      <c r="H65" s="216">
        <v>412.9019</v>
      </c>
      <c r="I65" s="214">
        <v>554</v>
      </c>
      <c r="J65" s="214">
        <v>2</v>
      </c>
      <c r="K65" s="214">
        <v>2</v>
      </c>
      <c r="L65" s="217">
        <v>4</v>
      </c>
      <c r="M65" s="218">
        <v>0</v>
      </c>
      <c r="N65" s="217">
        <v>0</v>
      </c>
      <c r="O65" s="213"/>
      <c r="P65" s="214">
        <v>154</v>
      </c>
      <c r="Q65" s="215">
        <v>7</v>
      </c>
      <c r="R65" s="215" t="s">
        <v>25</v>
      </c>
      <c r="S65" s="215" t="s">
        <v>26</v>
      </c>
    </row>
    <row r="66" hidden="1" spans="1:19">
      <c r="A66" s="213">
        <v>64</v>
      </c>
      <c r="B66" s="213" t="s">
        <v>109</v>
      </c>
      <c r="C66" s="214" t="s">
        <v>110</v>
      </c>
      <c r="D66" s="214" t="s">
        <v>113</v>
      </c>
      <c r="E66" s="213">
        <v>9962</v>
      </c>
      <c r="F66" s="214">
        <v>11060</v>
      </c>
      <c r="G66" s="219">
        <v>195</v>
      </c>
      <c r="H66" s="216">
        <v>347.6738</v>
      </c>
      <c r="I66" s="214">
        <v>386</v>
      </c>
      <c r="J66" s="214">
        <v>3</v>
      </c>
      <c r="K66" s="214">
        <v>2</v>
      </c>
      <c r="L66" s="217">
        <v>4</v>
      </c>
      <c r="M66" s="218">
        <v>0</v>
      </c>
      <c r="N66" s="217">
        <v>0</v>
      </c>
      <c r="O66" s="213"/>
      <c r="P66" s="214">
        <v>55</v>
      </c>
      <c r="Q66" s="215" t="s">
        <v>36</v>
      </c>
      <c r="R66" s="215" t="s">
        <v>36</v>
      </c>
      <c r="S66" s="215" t="s">
        <v>36</v>
      </c>
    </row>
    <row r="67" hidden="1" spans="1:19">
      <c r="A67" s="213">
        <v>65</v>
      </c>
      <c r="B67" s="213" t="s">
        <v>109</v>
      </c>
      <c r="C67" s="214" t="s">
        <v>110</v>
      </c>
      <c r="D67" s="214" t="s">
        <v>114</v>
      </c>
      <c r="E67" s="213">
        <v>6500</v>
      </c>
      <c r="F67" s="214">
        <v>6504</v>
      </c>
      <c r="G67" s="219">
        <v>440</v>
      </c>
      <c r="H67" s="216">
        <v>226.85</v>
      </c>
      <c r="I67" s="214">
        <v>227</v>
      </c>
      <c r="J67" s="214">
        <v>2</v>
      </c>
      <c r="K67" s="214">
        <v>2</v>
      </c>
      <c r="L67" s="217">
        <v>6</v>
      </c>
      <c r="M67" s="218">
        <v>2</v>
      </c>
      <c r="N67" s="217">
        <v>0</v>
      </c>
      <c r="O67" s="213"/>
      <c r="P67" s="214">
        <v>40</v>
      </c>
      <c r="Q67" s="215">
        <v>7</v>
      </c>
      <c r="R67" s="215" t="s">
        <v>115</v>
      </c>
      <c r="S67" s="215" t="s">
        <v>26</v>
      </c>
    </row>
    <row r="68" hidden="1" spans="1:19">
      <c r="A68" s="213">
        <v>66</v>
      </c>
      <c r="B68" s="213" t="s">
        <v>109</v>
      </c>
      <c r="C68" s="214" t="s">
        <v>110</v>
      </c>
      <c r="D68" s="214" t="s">
        <v>116</v>
      </c>
      <c r="E68" s="213">
        <v>5512</v>
      </c>
      <c r="F68" s="214">
        <v>6304</v>
      </c>
      <c r="G68" s="219">
        <v>240</v>
      </c>
      <c r="H68" s="216">
        <v>192.3688</v>
      </c>
      <c r="I68" s="214">
        <v>220</v>
      </c>
      <c r="J68" s="214">
        <v>2</v>
      </c>
      <c r="K68" s="214">
        <v>2</v>
      </c>
      <c r="L68" s="217">
        <v>4</v>
      </c>
      <c r="M68" s="218">
        <v>0</v>
      </c>
      <c r="N68" s="217">
        <v>0</v>
      </c>
      <c r="O68" s="213"/>
      <c r="P68" s="214">
        <v>25</v>
      </c>
      <c r="Q68" s="215">
        <v>8</v>
      </c>
      <c r="R68" s="215" t="s">
        <v>25</v>
      </c>
      <c r="S68" s="215" t="s">
        <v>26</v>
      </c>
    </row>
    <row r="69" hidden="1" spans="1:19">
      <c r="A69" s="213">
        <v>67</v>
      </c>
      <c r="B69" s="213" t="s">
        <v>109</v>
      </c>
      <c r="C69" s="214" t="s">
        <v>110</v>
      </c>
      <c r="D69" s="214" t="s">
        <v>117</v>
      </c>
      <c r="E69" s="213">
        <v>9283</v>
      </c>
      <c r="F69" s="214">
        <v>9284</v>
      </c>
      <c r="G69" s="219">
        <v>256</v>
      </c>
      <c r="H69" s="216">
        <v>323.9767</v>
      </c>
      <c r="I69" s="214">
        <v>324</v>
      </c>
      <c r="J69" s="214">
        <v>2</v>
      </c>
      <c r="K69" s="214"/>
      <c r="L69" s="217">
        <v>4</v>
      </c>
      <c r="M69" s="218">
        <v>0</v>
      </c>
      <c r="N69" s="217">
        <v>0</v>
      </c>
      <c r="O69" s="213"/>
      <c r="P69" s="214">
        <v>65</v>
      </c>
      <c r="Q69" s="215" t="s">
        <v>36</v>
      </c>
      <c r="R69" s="215" t="s">
        <v>36</v>
      </c>
      <c r="S69" s="215" t="s">
        <v>36</v>
      </c>
    </row>
    <row r="70" hidden="1" spans="1:19">
      <c r="A70" s="213">
        <v>68</v>
      </c>
      <c r="B70" s="213" t="s">
        <v>109</v>
      </c>
      <c r="C70" s="214" t="s">
        <v>110</v>
      </c>
      <c r="D70" s="214" t="s">
        <v>118</v>
      </c>
      <c r="E70" s="213">
        <v>8910</v>
      </c>
      <c r="F70" s="214">
        <v>10544</v>
      </c>
      <c r="G70" s="219">
        <v>163</v>
      </c>
      <c r="H70" s="216">
        <v>310.959</v>
      </c>
      <c r="I70" s="214">
        <v>368</v>
      </c>
      <c r="J70" s="214">
        <v>2</v>
      </c>
      <c r="K70" s="214">
        <v>2</v>
      </c>
      <c r="L70" s="217">
        <v>4</v>
      </c>
      <c r="M70" s="218">
        <v>0</v>
      </c>
      <c r="N70" s="217">
        <v>1</v>
      </c>
      <c r="O70" s="213"/>
      <c r="P70" s="214">
        <v>100</v>
      </c>
      <c r="Q70" s="215">
        <v>7</v>
      </c>
      <c r="R70" s="215" t="s">
        <v>25</v>
      </c>
      <c r="S70" s="215" t="s">
        <v>26</v>
      </c>
    </row>
    <row r="71" hidden="1" spans="1:19">
      <c r="A71" s="213">
        <v>69</v>
      </c>
      <c r="B71" s="213" t="s">
        <v>109</v>
      </c>
      <c r="C71" s="214" t="s">
        <v>110</v>
      </c>
      <c r="D71" s="214" t="s">
        <v>119</v>
      </c>
      <c r="E71" s="213">
        <v>5592</v>
      </c>
      <c r="F71" s="214">
        <v>8367</v>
      </c>
      <c r="G71" s="219">
        <v>162</v>
      </c>
      <c r="H71" s="216">
        <v>195.1608</v>
      </c>
      <c r="I71" s="214">
        <v>292</v>
      </c>
      <c r="J71" s="214">
        <v>3</v>
      </c>
      <c r="K71" s="214">
        <v>3</v>
      </c>
      <c r="L71" s="217">
        <v>4</v>
      </c>
      <c r="M71" s="218">
        <v>0</v>
      </c>
      <c r="N71" s="217">
        <v>0</v>
      </c>
      <c r="O71" s="213"/>
      <c r="P71" s="214">
        <v>75</v>
      </c>
      <c r="Q71" s="215">
        <v>10</v>
      </c>
      <c r="R71" s="215" t="s">
        <v>115</v>
      </c>
      <c r="S71" s="215" t="s">
        <v>26</v>
      </c>
    </row>
    <row r="72" hidden="1" spans="1:19">
      <c r="A72" s="213">
        <v>70</v>
      </c>
      <c r="B72" s="213" t="s">
        <v>109</v>
      </c>
      <c r="C72" s="214" t="s">
        <v>110</v>
      </c>
      <c r="D72" s="214" t="s">
        <v>120</v>
      </c>
      <c r="E72" s="213">
        <v>15275</v>
      </c>
      <c r="F72" s="214">
        <v>22951</v>
      </c>
      <c r="G72" s="219">
        <v>162</v>
      </c>
      <c r="H72" s="216">
        <v>533.0975</v>
      </c>
      <c r="I72" s="214">
        <v>801</v>
      </c>
      <c r="J72" s="214">
        <v>3</v>
      </c>
      <c r="K72" s="214">
        <v>2</v>
      </c>
      <c r="L72" s="217">
        <v>4</v>
      </c>
      <c r="M72" s="218">
        <v>0</v>
      </c>
      <c r="N72" s="217">
        <v>0</v>
      </c>
      <c r="O72" s="213"/>
      <c r="P72" s="214">
        <v>115</v>
      </c>
      <c r="Q72" s="215">
        <v>10</v>
      </c>
      <c r="R72" s="215" t="s">
        <v>25</v>
      </c>
      <c r="S72" s="215" t="s">
        <v>26</v>
      </c>
    </row>
    <row r="73" hidden="1" spans="1:19">
      <c r="A73" s="213">
        <v>71</v>
      </c>
      <c r="B73" s="213" t="s">
        <v>109</v>
      </c>
      <c r="C73" s="214" t="s">
        <v>110</v>
      </c>
      <c r="D73" s="214" t="s">
        <v>121</v>
      </c>
      <c r="E73" s="213">
        <v>7905</v>
      </c>
      <c r="F73" s="214">
        <v>7908</v>
      </c>
      <c r="G73" s="219">
        <v>357</v>
      </c>
      <c r="H73" s="216">
        <v>275.8845</v>
      </c>
      <c r="I73" s="214">
        <v>276</v>
      </c>
      <c r="J73" s="214">
        <v>2</v>
      </c>
      <c r="K73" s="214"/>
      <c r="L73" s="217">
        <v>6</v>
      </c>
      <c r="M73" s="218">
        <v>2</v>
      </c>
      <c r="N73" s="217">
        <v>1</v>
      </c>
      <c r="O73" s="213"/>
      <c r="P73" s="214">
        <v>135</v>
      </c>
      <c r="Q73" s="215" t="s">
        <v>36</v>
      </c>
      <c r="R73" s="215" t="s">
        <v>36</v>
      </c>
      <c r="S73" s="215" t="s">
        <v>36</v>
      </c>
    </row>
    <row r="74" hidden="1" spans="1:19">
      <c r="A74" s="213">
        <v>72</v>
      </c>
      <c r="B74" s="213" t="s">
        <v>109</v>
      </c>
      <c r="C74" s="214" t="s">
        <v>110</v>
      </c>
      <c r="D74" s="214" t="s">
        <v>122</v>
      </c>
      <c r="E74" s="213">
        <v>10818</v>
      </c>
      <c r="F74" s="214">
        <v>16963</v>
      </c>
      <c r="G74" s="219">
        <v>263</v>
      </c>
      <c r="H74" s="216">
        <v>377.5482</v>
      </c>
      <c r="I74" s="214">
        <v>592</v>
      </c>
      <c r="J74" s="214">
        <v>3</v>
      </c>
      <c r="K74" s="214">
        <v>2</v>
      </c>
      <c r="L74" s="217">
        <v>4</v>
      </c>
      <c r="M74" s="218">
        <v>0</v>
      </c>
      <c r="N74" s="217">
        <v>0</v>
      </c>
      <c r="O74" s="213"/>
      <c r="P74" s="214">
        <v>145</v>
      </c>
      <c r="Q74" s="215">
        <v>17</v>
      </c>
      <c r="R74" s="215" t="s">
        <v>25</v>
      </c>
      <c r="S74" s="215" t="s">
        <v>26</v>
      </c>
    </row>
    <row r="75" hidden="1" spans="1:19">
      <c r="A75" s="213">
        <v>73</v>
      </c>
      <c r="B75" s="213" t="s">
        <v>109</v>
      </c>
      <c r="C75" s="214" t="s">
        <v>110</v>
      </c>
      <c r="D75" s="214" t="s">
        <v>123</v>
      </c>
      <c r="E75" s="213">
        <v>14514</v>
      </c>
      <c r="F75" s="214">
        <v>14527</v>
      </c>
      <c r="G75" s="219">
        <v>358</v>
      </c>
      <c r="H75" s="216">
        <v>506.5386</v>
      </c>
      <c r="I75" s="214">
        <v>507</v>
      </c>
      <c r="J75" s="214">
        <v>3</v>
      </c>
      <c r="K75" s="214"/>
      <c r="L75" s="217">
        <v>4</v>
      </c>
      <c r="M75" s="218">
        <v>0</v>
      </c>
      <c r="N75" s="217">
        <v>0</v>
      </c>
      <c r="O75" s="213"/>
      <c r="P75" s="214">
        <v>12</v>
      </c>
      <c r="Q75" s="215">
        <v>7</v>
      </c>
      <c r="R75" s="215" t="s">
        <v>25</v>
      </c>
      <c r="S75" s="215" t="s">
        <v>26</v>
      </c>
    </row>
    <row r="76" hidden="1" spans="1:19">
      <c r="A76" s="213">
        <v>74</v>
      </c>
      <c r="B76" s="213" t="s">
        <v>109</v>
      </c>
      <c r="C76" s="214" t="s">
        <v>110</v>
      </c>
      <c r="D76" s="214" t="s">
        <v>124</v>
      </c>
      <c r="E76" s="213">
        <v>17382</v>
      </c>
      <c r="F76" s="214">
        <v>25530</v>
      </c>
      <c r="G76" s="219">
        <v>489</v>
      </c>
      <c r="H76" s="216">
        <v>606.6318</v>
      </c>
      <c r="I76" s="214">
        <v>891</v>
      </c>
      <c r="J76" s="214">
        <v>5</v>
      </c>
      <c r="K76" s="214"/>
      <c r="L76" s="217">
        <v>6</v>
      </c>
      <c r="M76" s="218">
        <v>2</v>
      </c>
      <c r="N76" s="217">
        <v>1</v>
      </c>
      <c r="O76" s="213"/>
      <c r="P76" s="214">
        <v>1</v>
      </c>
      <c r="Q76" s="215">
        <v>7</v>
      </c>
      <c r="R76" s="215" t="s">
        <v>25</v>
      </c>
      <c r="S76" s="215" t="s">
        <v>29</v>
      </c>
    </row>
    <row r="77" hidden="1" spans="1:19">
      <c r="A77" s="213">
        <v>75</v>
      </c>
      <c r="B77" s="213" t="s">
        <v>109</v>
      </c>
      <c r="C77" s="214" t="s">
        <v>110</v>
      </c>
      <c r="D77" s="214" t="s">
        <v>125</v>
      </c>
      <c r="E77" s="213">
        <v>7971</v>
      </c>
      <c r="F77" s="214">
        <v>17249</v>
      </c>
      <c r="G77" s="219">
        <v>190</v>
      </c>
      <c r="H77" s="216">
        <v>278.1879</v>
      </c>
      <c r="I77" s="214">
        <v>602</v>
      </c>
      <c r="J77" s="214">
        <v>3</v>
      </c>
      <c r="K77" s="214">
        <v>2</v>
      </c>
      <c r="L77" s="217">
        <v>4</v>
      </c>
      <c r="M77" s="218">
        <v>0</v>
      </c>
      <c r="N77" s="217">
        <v>0</v>
      </c>
      <c r="O77" s="213"/>
      <c r="P77" s="214">
        <v>100</v>
      </c>
      <c r="Q77" s="215">
        <v>10</v>
      </c>
      <c r="R77" s="215" t="s">
        <v>25</v>
      </c>
      <c r="S77" s="215" t="s">
        <v>26</v>
      </c>
    </row>
    <row r="78" hidden="1" spans="1:19">
      <c r="A78" s="213">
        <v>76</v>
      </c>
      <c r="B78" s="213" t="s">
        <v>109</v>
      </c>
      <c r="C78" s="214" t="s">
        <v>110</v>
      </c>
      <c r="D78" s="214" t="s">
        <v>126</v>
      </c>
      <c r="E78" s="213">
        <v>7262</v>
      </c>
      <c r="F78" s="214">
        <v>13209</v>
      </c>
      <c r="G78" s="219">
        <v>305</v>
      </c>
      <c r="H78" s="216">
        <v>253.4438</v>
      </c>
      <c r="I78" s="214">
        <v>461</v>
      </c>
      <c r="J78" s="214">
        <v>3</v>
      </c>
      <c r="K78" s="214">
        <v>2</v>
      </c>
      <c r="L78" s="217">
        <v>6</v>
      </c>
      <c r="M78" s="218">
        <v>2</v>
      </c>
      <c r="N78" s="217">
        <v>1</v>
      </c>
      <c r="O78" s="213"/>
      <c r="P78" s="214">
        <v>75</v>
      </c>
      <c r="Q78" s="215">
        <v>13</v>
      </c>
      <c r="R78" s="215" t="s">
        <v>25</v>
      </c>
      <c r="S78" s="215" t="s">
        <v>26</v>
      </c>
    </row>
    <row r="79" hidden="1" spans="1:19">
      <c r="A79" s="213">
        <v>77</v>
      </c>
      <c r="B79" s="213" t="s">
        <v>109</v>
      </c>
      <c r="C79" s="214" t="s">
        <v>110</v>
      </c>
      <c r="D79" s="214" t="s">
        <v>127</v>
      </c>
      <c r="E79" s="213">
        <v>11347</v>
      </c>
      <c r="F79" s="214">
        <v>18596</v>
      </c>
      <c r="G79" s="219">
        <v>281</v>
      </c>
      <c r="H79" s="216">
        <v>396.0103</v>
      </c>
      <c r="I79" s="214">
        <v>649</v>
      </c>
      <c r="J79" s="214">
        <v>3</v>
      </c>
      <c r="K79" s="214">
        <v>3</v>
      </c>
      <c r="L79" s="217">
        <v>4</v>
      </c>
      <c r="M79" s="218">
        <v>0</v>
      </c>
      <c r="N79" s="217">
        <v>1</v>
      </c>
      <c r="O79" s="213"/>
      <c r="P79" s="214">
        <v>25</v>
      </c>
      <c r="Q79" s="215">
        <v>15</v>
      </c>
      <c r="R79" s="215" t="s">
        <v>25</v>
      </c>
      <c r="S79" s="215" t="s">
        <v>26</v>
      </c>
    </row>
    <row r="80" hidden="1" spans="1:19">
      <c r="A80" s="213">
        <v>78</v>
      </c>
      <c r="B80" s="213" t="s">
        <v>109</v>
      </c>
      <c r="C80" s="214" t="s">
        <v>110</v>
      </c>
      <c r="D80" s="214" t="s">
        <v>128</v>
      </c>
      <c r="E80" s="213">
        <v>9395</v>
      </c>
      <c r="F80" s="214">
        <v>16304</v>
      </c>
      <c r="G80" s="219">
        <v>206</v>
      </c>
      <c r="H80" s="216">
        <v>327.8855</v>
      </c>
      <c r="I80" s="214">
        <v>569</v>
      </c>
      <c r="J80" s="214">
        <v>3</v>
      </c>
      <c r="K80" s="214">
        <v>2</v>
      </c>
      <c r="L80" s="217">
        <v>4</v>
      </c>
      <c r="M80" s="218">
        <v>0</v>
      </c>
      <c r="N80" s="217">
        <v>0</v>
      </c>
      <c r="O80" s="213"/>
      <c r="P80" s="214">
        <v>25</v>
      </c>
      <c r="Q80" s="215">
        <v>7</v>
      </c>
      <c r="R80" s="215" t="s">
        <v>25</v>
      </c>
      <c r="S80" s="215" t="s">
        <v>26</v>
      </c>
    </row>
    <row r="81" hidden="1" spans="1:19">
      <c r="A81" s="213">
        <v>79</v>
      </c>
      <c r="B81" s="213" t="s">
        <v>109</v>
      </c>
      <c r="C81" s="214" t="s">
        <v>110</v>
      </c>
      <c r="D81" s="214" t="s">
        <v>129</v>
      </c>
      <c r="E81" s="213">
        <v>9256</v>
      </c>
      <c r="F81" s="213"/>
      <c r="G81" s="219">
        <v>455</v>
      </c>
      <c r="H81" s="216">
        <v>323.0344</v>
      </c>
      <c r="I81" s="213"/>
      <c r="J81" s="214">
        <v>1</v>
      </c>
      <c r="K81" s="214"/>
      <c r="L81" s="217">
        <v>6</v>
      </c>
      <c r="M81" s="218">
        <v>2</v>
      </c>
      <c r="N81" s="217">
        <v>1</v>
      </c>
      <c r="O81" s="213"/>
      <c r="P81" s="214">
        <v>12</v>
      </c>
      <c r="Q81" s="215" t="s">
        <v>36</v>
      </c>
      <c r="R81" s="215" t="s">
        <v>36</v>
      </c>
      <c r="S81" s="215" t="s">
        <v>36</v>
      </c>
    </row>
    <row r="82" hidden="1" spans="1:19">
      <c r="A82" s="213">
        <v>80</v>
      </c>
      <c r="B82" s="213" t="s">
        <v>109</v>
      </c>
      <c r="C82" s="214" t="s">
        <v>110</v>
      </c>
      <c r="D82" s="214" t="s">
        <v>130</v>
      </c>
      <c r="E82" s="213">
        <v>9546</v>
      </c>
      <c r="F82" s="214">
        <v>12865</v>
      </c>
      <c r="G82" s="219">
        <v>249</v>
      </c>
      <c r="H82" s="216">
        <v>333.1554</v>
      </c>
      <c r="I82" s="214">
        <v>449</v>
      </c>
      <c r="J82" s="214">
        <v>3</v>
      </c>
      <c r="K82" s="214">
        <v>2</v>
      </c>
      <c r="L82" s="217">
        <v>4</v>
      </c>
      <c r="M82" s="218">
        <v>0</v>
      </c>
      <c r="N82" s="217">
        <v>0</v>
      </c>
      <c r="O82" s="213"/>
      <c r="P82" s="214">
        <v>120</v>
      </c>
      <c r="Q82" s="215">
        <v>9</v>
      </c>
      <c r="R82" s="215" t="s">
        <v>25</v>
      </c>
      <c r="S82" s="215" t="s">
        <v>26</v>
      </c>
    </row>
    <row r="83" hidden="1" spans="1:19">
      <c r="A83" s="213">
        <v>81</v>
      </c>
      <c r="B83" s="213" t="s">
        <v>109</v>
      </c>
      <c r="C83" s="214" t="s">
        <v>110</v>
      </c>
      <c r="D83" s="214" t="s">
        <v>131</v>
      </c>
      <c r="E83" s="213">
        <v>8201</v>
      </c>
      <c r="F83" s="214">
        <v>15874</v>
      </c>
      <c r="G83" s="219">
        <v>489</v>
      </c>
      <c r="H83" s="216">
        <v>286.2149</v>
      </c>
      <c r="I83" s="214">
        <v>554</v>
      </c>
      <c r="J83" s="214">
        <v>3</v>
      </c>
      <c r="K83" s="214">
        <v>3</v>
      </c>
      <c r="L83" s="217">
        <v>10</v>
      </c>
      <c r="M83" s="218">
        <v>0</v>
      </c>
      <c r="N83" s="217">
        <v>0</v>
      </c>
      <c r="O83" s="213"/>
      <c r="P83" s="214">
        <v>75</v>
      </c>
      <c r="Q83" s="215" t="s">
        <v>36</v>
      </c>
      <c r="R83" s="215" t="s">
        <v>36</v>
      </c>
      <c r="S83" s="215" t="s">
        <v>36</v>
      </c>
    </row>
    <row r="84" hidden="1" spans="1:19">
      <c r="A84" s="213">
        <v>82</v>
      </c>
      <c r="B84" s="213" t="s">
        <v>109</v>
      </c>
      <c r="C84" s="214" t="s">
        <v>110</v>
      </c>
      <c r="D84" s="214" t="s">
        <v>132</v>
      </c>
      <c r="E84" s="213">
        <v>18777</v>
      </c>
      <c r="F84" s="214">
        <v>18768</v>
      </c>
      <c r="G84" s="219">
        <v>346</v>
      </c>
      <c r="H84" s="216">
        <v>655.3173</v>
      </c>
      <c r="I84" s="214">
        <v>655</v>
      </c>
      <c r="J84" s="214">
        <v>2</v>
      </c>
      <c r="K84" s="214"/>
      <c r="L84" s="217">
        <v>4</v>
      </c>
      <c r="M84" s="218">
        <v>0</v>
      </c>
      <c r="N84" s="217">
        <v>0</v>
      </c>
      <c r="O84" s="213"/>
      <c r="P84" s="214">
        <v>1</v>
      </c>
      <c r="Q84" s="215" t="s">
        <v>36</v>
      </c>
      <c r="R84" s="215" t="s">
        <v>36</v>
      </c>
      <c r="S84" s="215" t="s">
        <v>36</v>
      </c>
    </row>
    <row r="85" hidden="1" spans="1:19">
      <c r="A85" s="213">
        <v>83</v>
      </c>
      <c r="B85" s="213" t="s">
        <v>109</v>
      </c>
      <c r="C85" s="214" t="s">
        <v>110</v>
      </c>
      <c r="D85" s="214" t="s">
        <v>133</v>
      </c>
      <c r="E85" s="213">
        <v>10894</v>
      </c>
      <c r="F85" s="214">
        <v>10888</v>
      </c>
      <c r="G85" s="219">
        <v>455</v>
      </c>
      <c r="H85" s="216">
        <v>380.2006</v>
      </c>
      <c r="I85" s="214">
        <v>380</v>
      </c>
      <c r="J85" s="214">
        <v>2</v>
      </c>
      <c r="K85" s="214"/>
      <c r="L85" s="217">
        <v>6</v>
      </c>
      <c r="M85" s="218">
        <v>2</v>
      </c>
      <c r="N85" s="217">
        <v>1</v>
      </c>
      <c r="O85" s="213"/>
      <c r="P85" s="214">
        <v>65</v>
      </c>
      <c r="Q85" s="215" t="s">
        <v>36</v>
      </c>
      <c r="R85" s="215" t="s">
        <v>36</v>
      </c>
      <c r="S85" s="215" t="s">
        <v>36</v>
      </c>
    </row>
    <row r="86" hidden="1" spans="1:19">
      <c r="A86" s="213">
        <v>84</v>
      </c>
      <c r="B86" s="213" t="s">
        <v>109</v>
      </c>
      <c r="C86" s="214" t="s">
        <v>110</v>
      </c>
      <c r="D86" s="214" t="s">
        <v>134</v>
      </c>
      <c r="E86" s="213">
        <v>14172</v>
      </c>
      <c r="F86" s="214">
        <v>18453</v>
      </c>
      <c r="G86" s="219">
        <v>429</v>
      </c>
      <c r="H86" s="216">
        <v>494.6028</v>
      </c>
      <c r="I86" s="214">
        <v>644</v>
      </c>
      <c r="J86" s="214">
        <v>3</v>
      </c>
      <c r="K86" s="214">
        <v>2</v>
      </c>
      <c r="L86" s="217">
        <v>4</v>
      </c>
      <c r="M86" s="218">
        <v>0</v>
      </c>
      <c r="N86" s="217">
        <v>1</v>
      </c>
      <c r="O86" s="213"/>
      <c r="P86" s="214">
        <v>75</v>
      </c>
      <c r="Q86" s="215" t="s">
        <v>36</v>
      </c>
      <c r="R86" s="215" t="s">
        <v>36</v>
      </c>
      <c r="S86" s="215" t="s">
        <v>36</v>
      </c>
    </row>
    <row r="87" hidden="1" spans="1:19">
      <c r="A87" s="213">
        <v>85</v>
      </c>
      <c r="B87" s="213" t="s">
        <v>109</v>
      </c>
      <c r="C87" s="214" t="s">
        <v>110</v>
      </c>
      <c r="D87" s="214" t="s">
        <v>135</v>
      </c>
      <c r="E87" s="213">
        <v>9659</v>
      </c>
      <c r="F87" s="214">
        <v>11289</v>
      </c>
      <c r="G87" s="219">
        <v>253</v>
      </c>
      <c r="H87" s="216">
        <v>337.0991</v>
      </c>
      <c r="I87" s="214">
        <v>394</v>
      </c>
      <c r="J87" s="214">
        <v>3</v>
      </c>
      <c r="K87" s="214">
        <v>2</v>
      </c>
      <c r="L87" s="217">
        <v>4</v>
      </c>
      <c r="M87" s="218">
        <v>0</v>
      </c>
      <c r="N87" s="217">
        <v>1</v>
      </c>
      <c r="O87" s="213"/>
      <c r="P87" s="214">
        <v>100</v>
      </c>
      <c r="Q87" s="215">
        <v>22</v>
      </c>
      <c r="R87" s="215" t="s">
        <v>25</v>
      </c>
      <c r="S87" s="215" t="s">
        <v>26</v>
      </c>
    </row>
    <row r="88" hidden="1" spans="1:19">
      <c r="A88" s="213">
        <v>86</v>
      </c>
      <c r="B88" s="213" t="s">
        <v>109</v>
      </c>
      <c r="C88" s="214" t="s">
        <v>110</v>
      </c>
      <c r="D88" s="214" t="s">
        <v>136</v>
      </c>
      <c r="E88" s="213">
        <v>12840</v>
      </c>
      <c r="F88" s="214">
        <v>16332</v>
      </c>
      <c r="G88" s="219">
        <v>245</v>
      </c>
      <c r="H88" s="216">
        <v>448.116</v>
      </c>
      <c r="I88" s="214">
        <v>570</v>
      </c>
      <c r="J88" s="214">
        <v>4</v>
      </c>
      <c r="K88" s="214">
        <v>3</v>
      </c>
      <c r="L88" s="217">
        <v>4</v>
      </c>
      <c r="M88" s="218">
        <v>0</v>
      </c>
      <c r="N88" s="217">
        <v>1</v>
      </c>
      <c r="O88" s="213"/>
      <c r="P88" s="214">
        <v>35</v>
      </c>
      <c r="Q88" s="215" t="s">
        <v>36</v>
      </c>
      <c r="R88" s="215" t="s">
        <v>36</v>
      </c>
      <c r="S88" s="215" t="s">
        <v>36</v>
      </c>
    </row>
    <row r="89" hidden="1" spans="1:19">
      <c r="A89" s="213"/>
      <c r="B89" s="213"/>
      <c r="C89" s="213"/>
      <c r="D89" s="214"/>
      <c r="E89" s="213"/>
      <c r="F89" s="213"/>
      <c r="G89" s="221"/>
      <c r="H89" s="216"/>
      <c r="I89" s="213"/>
      <c r="J89" s="213"/>
      <c r="K89" s="213"/>
      <c r="L89" s="213"/>
      <c r="M89" s="213"/>
      <c r="N89" s="213"/>
      <c r="O89" s="213"/>
      <c r="P89" s="213"/>
      <c r="Q89" s="213"/>
      <c r="R89" s="213"/>
      <c r="S89" s="213"/>
    </row>
    <row r="90" hidden="1" spans="1:19">
      <c r="A90" s="213">
        <v>88</v>
      </c>
      <c r="B90" s="213" t="s">
        <v>137</v>
      </c>
      <c r="C90" s="214" t="s">
        <v>138</v>
      </c>
      <c r="D90" s="214" t="s">
        <v>139</v>
      </c>
      <c r="E90" s="213">
        <v>7250</v>
      </c>
      <c r="F90" s="214">
        <v>10659</v>
      </c>
      <c r="G90" s="215">
        <v>349</v>
      </c>
      <c r="H90" s="216">
        <v>253.025</v>
      </c>
      <c r="I90" s="214">
        <v>372</v>
      </c>
      <c r="J90" s="214">
        <v>2</v>
      </c>
      <c r="K90" s="214">
        <v>2</v>
      </c>
      <c r="L90" s="221" t="s">
        <v>140</v>
      </c>
      <c r="M90" s="221" t="s">
        <v>141</v>
      </c>
      <c r="N90" s="221" t="s">
        <v>142</v>
      </c>
      <c r="O90" s="213"/>
      <c r="P90" s="217">
        <v>36</v>
      </c>
      <c r="Q90" s="215" t="s">
        <v>36</v>
      </c>
      <c r="R90" s="215" t="s">
        <v>36</v>
      </c>
      <c r="S90" s="215" t="s">
        <v>36</v>
      </c>
    </row>
    <row r="91" hidden="1" spans="1:19">
      <c r="A91" s="213">
        <v>89</v>
      </c>
      <c r="B91" s="213" t="s">
        <v>137</v>
      </c>
      <c r="C91" s="214" t="s">
        <v>138</v>
      </c>
      <c r="D91" s="214" t="s">
        <v>143</v>
      </c>
      <c r="E91" s="213">
        <v>6571</v>
      </c>
      <c r="F91" s="214">
        <v>8166</v>
      </c>
      <c r="G91" s="215">
        <v>359</v>
      </c>
      <c r="H91" s="216">
        <v>229.3279</v>
      </c>
      <c r="I91" s="214">
        <v>285</v>
      </c>
      <c r="J91" s="214">
        <v>4</v>
      </c>
      <c r="K91" s="214">
        <v>2</v>
      </c>
      <c r="L91" s="221" t="s">
        <v>140</v>
      </c>
      <c r="M91" s="221">
        <v>3</v>
      </c>
      <c r="N91" s="221">
        <v>1</v>
      </c>
      <c r="O91" s="213"/>
      <c r="P91" s="217">
        <v>54</v>
      </c>
      <c r="Q91" s="215">
        <v>7</v>
      </c>
      <c r="R91" s="215" t="s">
        <v>25</v>
      </c>
      <c r="S91" s="215" t="s">
        <v>26</v>
      </c>
    </row>
    <row r="92" hidden="1" spans="1:19">
      <c r="A92" s="213">
        <v>90</v>
      </c>
      <c r="B92" s="213" t="s">
        <v>137</v>
      </c>
      <c r="C92" s="214" t="s">
        <v>138</v>
      </c>
      <c r="D92" s="214" t="s">
        <v>144</v>
      </c>
      <c r="E92" s="213">
        <v>8093</v>
      </c>
      <c r="F92" s="214">
        <v>13095</v>
      </c>
      <c r="G92" s="215">
        <v>422</v>
      </c>
      <c r="H92" s="216">
        <v>282.4457</v>
      </c>
      <c r="I92" s="214">
        <v>457</v>
      </c>
      <c r="J92" s="214">
        <v>5</v>
      </c>
      <c r="K92" s="214">
        <v>2</v>
      </c>
      <c r="L92" s="221" t="s">
        <v>145</v>
      </c>
      <c r="M92" s="221">
        <v>4</v>
      </c>
      <c r="N92" s="221" t="s">
        <v>142</v>
      </c>
      <c r="O92" s="213"/>
      <c r="P92" s="217">
        <v>8</v>
      </c>
      <c r="Q92" s="215" t="s">
        <v>36</v>
      </c>
      <c r="R92" s="215" t="s">
        <v>36</v>
      </c>
      <c r="S92" s="215" t="s">
        <v>36</v>
      </c>
    </row>
    <row r="93" hidden="1" spans="1:19">
      <c r="A93" s="213">
        <v>91</v>
      </c>
      <c r="B93" s="213" t="s">
        <v>137</v>
      </c>
      <c r="C93" s="214" t="s">
        <v>138</v>
      </c>
      <c r="D93" s="214" t="s">
        <v>146</v>
      </c>
      <c r="E93" s="213">
        <v>8349</v>
      </c>
      <c r="F93" s="214">
        <v>10659</v>
      </c>
      <c r="G93" s="215">
        <v>340</v>
      </c>
      <c r="H93" s="216">
        <v>291.3801</v>
      </c>
      <c r="I93" s="214">
        <v>372</v>
      </c>
      <c r="J93" s="214">
        <v>3</v>
      </c>
      <c r="K93" s="214">
        <v>2</v>
      </c>
      <c r="L93" s="221" t="s">
        <v>140</v>
      </c>
      <c r="M93" s="221">
        <v>3</v>
      </c>
      <c r="N93" s="221">
        <v>0</v>
      </c>
      <c r="O93" s="213"/>
      <c r="P93" s="217">
        <v>22</v>
      </c>
      <c r="Q93" s="215">
        <v>4</v>
      </c>
      <c r="R93" s="215" t="s">
        <v>25</v>
      </c>
      <c r="S93" s="215" t="s">
        <v>26</v>
      </c>
    </row>
    <row r="94" hidden="1" spans="1:19">
      <c r="A94" s="213">
        <v>92</v>
      </c>
      <c r="B94" s="213" t="s">
        <v>137</v>
      </c>
      <c r="C94" s="214" t="s">
        <v>138</v>
      </c>
      <c r="D94" s="214" t="s">
        <v>147</v>
      </c>
      <c r="E94" s="213">
        <v>7521</v>
      </c>
      <c r="F94" s="214">
        <v>10946</v>
      </c>
      <c r="G94" s="215">
        <v>315</v>
      </c>
      <c r="H94" s="216">
        <v>262.4829</v>
      </c>
      <c r="I94" s="214">
        <v>382</v>
      </c>
      <c r="J94" s="214">
        <v>3</v>
      </c>
      <c r="K94" s="214">
        <v>2</v>
      </c>
      <c r="L94" s="221" t="s">
        <v>148</v>
      </c>
      <c r="M94" s="221">
        <v>2</v>
      </c>
      <c r="N94" s="221">
        <v>0</v>
      </c>
      <c r="O94" s="213"/>
      <c r="P94" s="217">
        <v>22</v>
      </c>
      <c r="Q94" s="215">
        <v>5</v>
      </c>
      <c r="R94" s="215" t="s">
        <v>25</v>
      </c>
      <c r="S94" s="215" t="s">
        <v>26</v>
      </c>
    </row>
    <row r="95" hidden="1" spans="1:19">
      <c r="A95" s="213">
        <v>93</v>
      </c>
      <c r="B95" s="213" t="s">
        <v>137</v>
      </c>
      <c r="C95" s="214" t="s">
        <v>138</v>
      </c>
      <c r="D95" s="214" t="s">
        <v>149</v>
      </c>
      <c r="E95" s="213">
        <v>6179</v>
      </c>
      <c r="F95" s="214">
        <v>10372</v>
      </c>
      <c r="G95" s="215">
        <v>320</v>
      </c>
      <c r="H95" s="216">
        <v>215.6471</v>
      </c>
      <c r="I95" s="214">
        <v>362</v>
      </c>
      <c r="J95" s="214">
        <v>3</v>
      </c>
      <c r="K95" s="214">
        <v>2</v>
      </c>
      <c r="L95" s="221" t="s">
        <v>148</v>
      </c>
      <c r="M95" s="221">
        <v>2</v>
      </c>
      <c r="N95" s="221">
        <v>0</v>
      </c>
      <c r="O95" s="213"/>
      <c r="P95" s="217">
        <v>74</v>
      </c>
      <c r="Q95" s="215">
        <v>7</v>
      </c>
      <c r="R95" s="215" t="s">
        <v>25</v>
      </c>
      <c r="S95" s="215" t="s">
        <v>26</v>
      </c>
    </row>
    <row r="96" hidden="1" spans="1:19">
      <c r="A96" s="213">
        <v>94</v>
      </c>
      <c r="B96" s="213" t="s">
        <v>137</v>
      </c>
      <c r="C96" s="214" t="s">
        <v>138</v>
      </c>
      <c r="D96" s="214" t="s">
        <v>150</v>
      </c>
      <c r="E96" s="213">
        <v>12430</v>
      </c>
      <c r="F96" s="214">
        <v>19341</v>
      </c>
      <c r="G96" s="215">
        <v>334</v>
      </c>
      <c r="H96" s="216">
        <v>433.807</v>
      </c>
      <c r="I96" s="214">
        <v>675</v>
      </c>
      <c r="J96" s="214">
        <v>3</v>
      </c>
      <c r="K96" s="214">
        <v>3</v>
      </c>
      <c r="L96" s="221" t="s">
        <v>140</v>
      </c>
      <c r="M96" s="221">
        <v>3</v>
      </c>
      <c r="N96" s="221">
        <v>0</v>
      </c>
      <c r="O96" s="213"/>
      <c r="P96" s="217">
        <v>42</v>
      </c>
      <c r="Q96" s="215">
        <v>4</v>
      </c>
      <c r="R96" s="215" t="s">
        <v>25</v>
      </c>
      <c r="S96" s="215" t="s">
        <v>26</v>
      </c>
    </row>
    <row r="97" hidden="1" spans="1:21">
      <c r="A97" s="213">
        <v>95</v>
      </c>
      <c r="B97" s="213" t="s">
        <v>137</v>
      </c>
      <c r="C97" s="214" t="s">
        <v>138</v>
      </c>
      <c r="D97" s="214" t="s">
        <v>151</v>
      </c>
      <c r="E97" s="213">
        <v>7537</v>
      </c>
      <c r="F97" s="214">
        <v>10659</v>
      </c>
      <c r="G97" s="215">
        <v>328</v>
      </c>
      <c r="H97" s="216">
        <v>263.0413</v>
      </c>
      <c r="I97" s="214">
        <v>372</v>
      </c>
      <c r="J97" s="214">
        <v>3</v>
      </c>
      <c r="K97" s="214">
        <v>2</v>
      </c>
      <c r="L97" s="221" t="s">
        <v>148</v>
      </c>
      <c r="M97" s="221">
        <v>2</v>
      </c>
      <c r="N97" s="221">
        <v>0</v>
      </c>
      <c r="O97" s="213"/>
      <c r="P97" s="217">
        <v>60</v>
      </c>
      <c r="Q97" s="215">
        <v>5</v>
      </c>
      <c r="R97" s="215" t="s">
        <v>25</v>
      </c>
      <c r="S97" s="215" t="s">
        <v>26</v>
      </c>
    </row>
    <row r="98" hidden="1" spans="1:21">
      <c r="A98" s="213">
        <v>96</v>
      </c>
      <c r="B98" s="213" t="s">
        <v>137</v>
      </c>
      <c r="C98" s="214" t="s">
        <v>138</v>
      </c>
      <c r="D98" s="214" t="s">
        <v>152</v>
      </c>
      <c r="E98" s="213">
        <v>9532</v>
      </c>
      <c r="F98" s="214">
        <v>10659</v>
      </c>
      <c r="G98" s="215">
        <v>387</v>
      </c>
      <c r="H98" s="216">
        <v>332.6668</v>
      </c>
      <c r="I98" s="214">
        <v>372</v>
      </c>
      <c r="J98" s="214">
        <v>3</v>
      </c>
      <c r="K98" s="214">
        <v>2</v>
      </c>
      <c r="L98" s="221" t="s">
        <v>153</v>
      </c>
      <c r="M98" s="221">
        <v>4</v>
      </c>
      <c r="N98" s="221" t="s">
        <v>142</v>
      </c>
      <c r="O98" s="213"/>
      <c r="P98" s="217">
        <v>38</v>
      </c>
      <c r="Q98" s="215">
        <v>3</v>
      </c>
      <c r="R98" s="215" t="s">
        <v>25</v>
      </c>
      <c r="S98" s="215" t="s">
        <v>26</v>
      </c>
    </row>
    <row r="99" hidden="1" spans="1:21">
      <c r="A99" s="213">
        <v>97</v>
      </c>
      <c r="B99" s="213" t="s">
        <v>137</v>
      </c>
      <c r="C99" s="214" t="s">
        <v>138</v>
      </c>
      <c r="D99" s="214" t="s">
        <v>154</v>
      </c>
      <c r="E99" s="213">
        <v>10419</v>
      </c>
      <c r="F99" s="214">
        <v>17163</v>
      </c>
      <c r="G99" s="215">
        <v>441</v>
      </c>
      <c r="H99" s="216">
        <v>363.6231</v>
      </c>
      <c r="I99" s="214">
        <v>599</v>
      </c>
      <c r="J99" s="214">
        <v>2</v>
      </c>
      <c r="K99" s="214">
        <v>2</v>
      </c>
      <c r="L99" s="221" t="s">
        <v>145</v>
      </c>
      <c r="M99" s="221">
        <v>4</v>
      </c>
      <c r="N99" s="221">
        <v>1</v>
      </c>
      <c r="O99" s="213"/>
      <c r="P99" s="217">
        <v>48</v>
      </c>
      <c r="Q99" s="215" t="s">
        <v>36</v>
      </c>
      <c r="R99" s="215" t="s">
        <v>25</v>
      </c>
      <c r="S99" s="215" t="s">
        <v>26</v>
      </c>
    </row>
    <row r="100" hidden="1" spans="1:21">
      <c r="A100" s="213">
        <v>98</v>
      </c>
      <c r="B100" s="213" t="s">
        <v>137</v>
      </c>
      <c r="C100" s="214" t="s">
        <v>138</v>
      </c>
      <c r="D100" s="214" t="s">
        <v>155</v>
      </c>
      <c r="E100" s="213">
        <v>7566</v>
      </c>
      <c r="F100" s="214">
        <v>12894</v>
      </c>
      <c r="G100" s="215">
        <v>307</v>
      </c>
      <c r="H100" s="216">
        <v>264.0534</v>
      </c>
      <c r="I100" s="214">
        <v>450</v>
      </c>
      <c r="J100" s="214">
        <v>3</v>
      </c>
      <c r="K100" s="214">
        <v>2</v>
      </c>
      <c r="L100" s="221" t="s">
        <v>148</v>
      </c>
      <c r="M100" s="221">
        <v>2</v>
      </c>
      <c r="N100" s="221" t="s">
        <v>142</v>
      </c>
      <c r="O100" s="213"/>
      <c r="P100" s="217">
        <v>36</v>
      </c>
      <c r="Q100" s="215">
        <v>6</v>
      </c>
      <c r="R100" s="215" t="s">
        <v>25</v>
      </c>
      <c r="S100" s="215" t="s">
        <v>26</v>
      </c>
    </row>
    <row r="101" hidden="1" spans="1:21">
      <c r="A101" s="213">
        <v>99</v>
      </c>
      <c r="B101" s="213" t="s">
        <v>137</v>
      </c>
      <c r="C101" s="214" t="s">
        <v>138</v>
      </c>
      <c r="D101" s="214" t="s">
        <v>156</v>
      </c>
      <c r="E101" s="213">
        <v>6160</v>
      </c>
      <c r="F101" s="214">
        <v>10229</v>
      </c>
      <c r="G101" s="215">
        <v>258</v>
      </c>
      <c r="H101" s="216">
        <v>214.984</v>
      </c>
      <c r="I101" s="214">
        <v>357</v>
      </c>
      <c r="J101" s="214">
        <v>2</v>
      </c>
      <c r="K101" s="214">
        <v>2</v>
      </c>
      <c r="L101" s="221" t="s">
        <v>148</v>
      </c>
      <c r="M101" s="221">
        <v>2</v>
      </c>
      <c r="N101" s="221" t="s">
        <v>142</v>
      </c>
      <c r="O101" s="213"/>
      <c r="P101" s="217">
        <v>73</v>
      </c>
      <c r="Q101" s="215" t="s">
        <v>36</v>
      </c>
      <c r="R101" s="215" t="s">
        <v>36</v>
      </c>
      <c r="S101" s="215" t="s">
        <v>36</v>
      </c>
    </row>
    <row r="102" hidden="1" spans="1:21">
      <c r="A102" s="213">
        <v>100</v>
      </c>
      <c r="B102" s="213" t="s">
        <v>137</v>
      </c>
      <c r="C102" s="214" t="s">
        <v>138</v>
      </c>
      <c r="D102" s="214" t="s">
        <v>157</v>
      </c>
      <c r="E102" s="213">
        <v>6170</v>
      </c>
      <c r="F102" s="214">
        <v>10172</v>
      </c>
      <c r="G102" s="215">
        <v>273</v>
      </c>
      <c r="H102" s="216">
        <v>215.333</v>
      </c>
      <c r="I102" s="214">
        <v>355</v>
      </c>
      <c r="J102" s="214">
        <v>2</v>
      </c>
      <c r="K102" s="214">
        <v>2</v>
      </c>
      <c r="L102" s="221" t="s">
        <v>148</v>
      </c>
      <c r="M102" s="221">
        <v>2</v>
      </c>
      <c r="N102" s="221">
        <v>0</v>
      </c>
      <c r="O102" s="213"/>
      <c r="P102" s="217">
        <v>50</v>
      </c>
      <c r="Q102" s="215" t="s">
        <v>36</v>
      </c>
      <c r="R102" s="215" t="s">
        <v>36</v>
      </c>
      <c r="S102" s="215" t="s">
        <v>36</v>
      </c>
    </row>
    <row r="103" hidden="1" spans="1:21">
      <c r="A103" s="213">
        <v>101</v>
      </c>
      <c r="B103" s="213" t="s">
        <v>137</v>
      </c>
      <c r="C103" s="214" t="s">
        <v>138</v>
      </c>
      <c r="D103" s="214" t="s">
        <v>158</v>
      </c>
      <c r="E103" s="213">
        <v>11331</v>
      </c>
      <c r="F103" s="214">
        <v>17507</v>
      </c>
      <c r="G103" s="215">
        <v>503</v>
      </c>
      <c r="H103" s="216">
        <v>395.4519</v>
      </c>
      <c r="I103" s="214">
        <v>611</v>
      </c>
      <c r="J103" s="214">
        <v>3</v>
      </c>
      <c r="K103" s="214">
        <v>2</v>
      </c>
      <c r="L103" s="221" t="s">
        <v>159</v>
      </c>
      <c r="M103" s="221">
        <v>5</v>
      </c>
      <c r="N103" s="221" t="s">
        <v>142</v>
      </c>
      <c r="O103" s="213"/>
      <c r="P103" s="217">
        <v>18</v>
      </c>
      <c r="Q103" s="215" t="s">
        <v>36</v>
      </c>
      <c r="R103" s="215" t="s">
        <v>25</v>
      </c>
      <c r="S103" s="215" t="s">
        <v>26</v>
      </c>
    </row>
    <row r="104" hidden="1" spans="1:21">
      <c r="A104" s="213">
        <v>102</v>
      </c>
      <c r="B104" s="213" t="s">
        <v>137</v>
      </c>
      <c r="C104" s="214" t="s">
        <v>138</v>
      </c>
      <c r="D104" s="214" t="s">
        <v>160</v>
      </c>
      <c r="E104" s="213">
        <v>8292</v>
      </c>
      <c r="F104" s="214">
        <v>14069</v>
      </c>
      <c r="G104" s="215">
        <v>336</v>
      </c>
      <c r="H104" s="216">
        <v>289.3908</v>
      </c>
      <c r="I104" s="214">
        <v>491</v>
      </c>
      <c r="J104" s="214">
        <v>3</v>
      </c>
      <c r="K104" s="214">
        <v>2</v>
      </c>
      <c r="L104" s="221" t="s">
        <v>140</v>
      </c>
      <c r="M104" s="221">
        <v>2</v>
      </c>
      <c r="N104" s="221">
        <v>0</v>
      </c>
      <c r="O104" s="213"/>
      <c r="P104" s="217">
        <v>54</v>
      </c>
      <c r="Q104" s="215">
        <v>6</v>
      </c>
      <c r="R104" s="215" t="s">
        <v>25</v>
      </c>
      <c r="S104" s="215" t="s">
        <v>26</v>
      </c>
    </row>
    <row r="105" hidden="1" spans="1:21">
      <c r="A105" s="213">
        <v>103</v>
      </c>
      <c r="B105" s="213" t="s">
        <v>137</v>
      </c>
      <c r="C105" s="214" t="s">
        <v>138</v>
      </c>
      <c r="D105" s="214" t="s">
        <v>161</v>
      </c>
      <c r="E105" s="213">
        <v>7764</v>
      </c>
      <c r="F105" s="214">
        <v>13238</v>
      </c>
      <c r="G105" s="215">
        <v>396</v>
      </c>
      <c r="H105" s="216">
        <v>270.9636</v>
      </c>
      <c r="I105" s="214">
        <v>462</v>
      </c>
      <c r="J105" s="214">
        <v>3</v>
      </c>
      <c r="K105" s="214">
        <v>2</v>
      </c>
      <c r="L105" s="221" t="s">
        <v>153</v>
      </c>
      <c r="M105" s="221">
        <v>4</v>
      </c>
      <c r="N105" s="221">
        <v>1</v>
      </c>
      <c r="O105" s="213"/>
      <c r="P105" s="217">
        <v>68</v>
      </c>
      <c r="Q105" s="215">
        <v>9</v>
      </c>
      <c r="R105" s="215" t="s">
        <v>25</v>
      </c>
      <c r="S105" s="215" t="s">
        <v>26</v>
      </c>
    </row>
    <row r="106" hidden="1" spans="1:21">
      <c r="A106" s="217">
        <v>104</v>
      </c>
      <c r="B106" s="217" t="s">
        <v>137</v>
      </c>
      <c r="C106" s="217" t="s">
        <v>138</v>
      </c>
      <c r="D106" s="217" t="s">
        <v>162</v>
      </c>
      <c r="E106" s="213"/>
      <c r="F106" s="214"/>
      <c r="G106" s="215">
        <v>251</v>
      </c>
      <c r="H106" s="216"/>
      <c r="I106" s="214"/>
      <c r="J106" s="213"/>
      <c r="K106" s="213"/>
      <c r="L106" s="221" t="s">
        <v>148</v>
      </c>
      <c r="M106" s="221">
        <v>2</v>
      </c>
      <c r="N106" s="221">
        <v>0</v>
      </c>
      <c r="O106" s="213"/>
      <c r="P106" s="217">
        <v>25</v>
      </c>
      <c r="Q106" s="215"/>
      <c r="R106" s="215"/>
      <c r="S106" s="213"/>
    </row>
    <row r="107" hidden="1" spans="1:21">
      <c r="A107" s="213"/>
      <c r="B107" s="213"/>
      <c r="C107" s="213"/>
      <c r="D107" s="214"/>
      <c r="E107" s="213"/>
      <c r="F107" s="213"/>
      <c r="G107" s="221"/>
      <c r="H107" s="216"/>
      <c r="I107" s="213"/>
      <c r="J107" s="213"/>
      <c r="K107" s="213"/>
      <c r="L107" s="213"/>
      <c r="M107" s="213"/>
      <c r="N107" s="213"/>
      <c r="O107" s="213"/>
      <c r="P107" s="213"/>
      <c r="Q107" s="213"/>
      <c r="R107" s="213"/>
      <c r="S107" s="213"/>
    </row>
    <row r="108" ht="29" spans="1:21">
      <c r="A108" s="213">
        <v>105</v>
      </c>
      <c r="B108" s="213" t="s">
        <v>22</v>
      </c>
      <c r="C108" s="214" t="s">
        <v>163</v>
      </c>
      <c r="D108" s="214" t="s">
        <v>164</v>
      </c>
      <c r="E108" s="213">
        <v>8114</v>
      </c>
      <c r="F108" s="214">
        <v>9771</v>
      </c>
      <c r="G108" s="215">
        <v>244</v>
      </c>
      <c r="H108" s="216">
        <v>283.1786</v>
      </c>
      <c r="I108" s="214">
        <v>341</v>
      </c>
      <c r="J108" s="214">
        <v>4</v>
      </c>
      <c r="K108" s="214">
        <v>2</v>
      </c>
      <c r="L108" s="217">
        <v>4</v>
      </c>
      <c r="M108" s="217">
        <v>2</v>
      </c>
      <c r="N108" s="217">
        <v>1</v>
      </c>
      <c r="O108" s="217">
        <v>1</v>
      </c>
      <c r="P108" s="220">
        <v>90</v>
      </c>
      <c r="Q108" s="215">
        <v>14</v>
      </c>
      <c r="R108" s="219" t="s">
        <v>165</v>
      </c>
      <c r="S108" s="215" t="s">
        <v>26</v>
      </c>
      <c r="T108" s="105">
        <f t="shared" ref="T108:T135" si="5">H108*5/25/12</f>
        <v>4.71964333333333</v>
      </c>
      <c r="U108" s="105">
        <f t="shared" ref="U108:U135" si="6">T108-L108-M108-N108-O108</f>
        <v>-3.28035666666667</v>
      </c>
    </row>
    <row r="109" spans="1:21">
      <c r="A109" s="213">
        <v>106</v>
      </c>
      <c r="B109" s="213" t="s">
        <v>22</v>
      </c>
      <c r="C109" s="214" t="s">
        <v>163</v>
      </c>
      <c r="D109" s="214" t="s">
        <v>166</v>
      </c>
      <c r="E109" s="213">
        <v>11353</v>
      </c>
      <c r="F109" s="214">
        <v>12120</v>
      </c>
      <c r="G109" s="215">
        <v>333</v>
      </c>
      <c r="H109" s="216">
        <v>396.2197</v>
      </c>
      <c r="I109" s="214">
        <v>423</v>
      </c>
      <c r="J109" s="214">
        <v>3</v>
      </c>
      <c r="K109" s="214">
        <v>2</v>
      </c>
      <c r="L109" s="217">
        <v>4</v>
      </c>
      <c r="M109" s="217">
        <v>2</v>
      </c>
      <c r="N109" s="217">
        <v>0</v>
      </c>
      <c r="O109" s="217"/>
      <c r="P109" s="220">
        <v>63</v>
      </c>
      <c r="Q109" s="215">
        <v>16</v>
      </c>
      <c r="R109" s="219" t="s">
        <v>25</v>
      </c>
      <c r="S109" s="215" t="s">
        <v>29</v>
      </c>
      <c r="T109" s="105">
        <f t="shared" si="5"/>
        <v>6.60366166666667</v>
      </c>
      <c r="U109" s="105">
        <f t="shared" si="6"/>
        <v>0.603661666666667</v>
      </c>
    </row>
    <row r="110" spans="1:21">
      <c r="A110" s="213">
        <v>107</v>
      </c>
      <c r="B110" s="213" t="s">
        <v>22</v>
      </c>
      <c r="C110" s="214" t="s">
        <v>163</v>
      </c>
      <c r="D110" s="214" t="s">
        <v>167</v>
      </c>
      <c r="E110" s="213">
        <v>9700</v>
      </c>
      <c r="F110" s="214">
        <v>10401</v>
      </c>
      <c r="G110" s="215">
        <v>563</v>
      </c>
      <c r="H110" s="216">
        <v>338.53</v>
      </c>
      <c r="I110" s="214">
        <v>363</v>
      </c>
      <c r="J110" s="214">
        <v>2</v>
      </c>
      <c r="K110" s="214">
        <v>2</v>
      </c>
      <c r="L110" s="217">
        <v>5</v>
      </c>
      <c r="M110" s="217">
        <v>2</v>
      </c>
      <c r="N110" s="217">
        <v>1</v>
      </c>
      <c r="O110" s="217"/>
      <c r="P110" s="220">
        <v>2</v>
      </c>
      <c r="Q110" s="215">
        <v>35</v>
      </c>
      <c r="R110" s="219" t="s">
        <v>25</v>
      </c>
      <c r="S110" s="215" t="s">
        <v>26</v>
      </c>
      <c r="T110" s="105">
        <f t="shared" si="5"/>
        <v>5.64216666666667</v>
      </c>
      <c r="U110" s="105">
        <f t="shared" si="6"/>
        <v>-2.35783333333333</v>
      </c>
    </row>
    <row r="111" spans="1:21">
      <c r="A111" s="213">
        <v>108</v>
      </c>
      <c r="B111" s="213" t="s">
        <v>22</v>
      </c>
      <c r="C111" s="214" t="s">
        <v>163</v>
      </c>
      <c r="D111" s="214" t="s">
        <v>168</v>
      </c>
      <c r="E111" s="213">
        <v>12702</v>
      </c>
      <c r="F111" s="214">
        <v>14470</v>
      </c>
      <c r="G111" s="215">
        <v>416</v>
      </c>
      <c r="H111" s="216">
        <v>443.2998</v>
      </c>
      <c r="I111" s="214">
        <v>505</v>
      </c>
      <c r="J111" s="214">
        <v>3</v>
      </c>
      <c r="K111" s="214">
        <v>2</v>
      </c>
      <c r="L111" s="217">
        <v>4</v>
      </c>
      <c r="M111" s="217">
        <v>2</v>
      </c>
      <c r="N111" s="217">
        <v>1</v>
      </c>
      <c r="O111" s="217"/>
      <c r="P111" s="220">
        <v>96</v>
      </c>
      <c r="Q111" s="215" t="s">
        <v>36</v>
      </c>
      <c r="R111" s="219" t="s">
        <v>36</v>
      </c>
      <c r="S111" s="215" t="s">
        <v>36</v>
      </c>
      <c r="T111" s="105">
        <f t="shared" si="5"/>
        <v>7.38833</v>
      </c>
      <c r="U111" s="105">
        <f t="shared" si="6"/>
        <v>0.38833</v>
      </c>
    </row>
    <row r="112" spans="1:21">
      <c r="A112" s="213">
        <v>109</v>
      </c>
      <c r="B112" s="213" t="s">
        <v>22</v>
      </c>
      <c r="C112" s="214" t="s">
        <v>163</v>
      </c>
      <c r="D112" s="214" t="s">
        <v>169</v>
      </c>
      <c r="E112" s="213">
        <v>12147</v>
      </c>
      <c r="F112" s="214">
        <v>11232</v>
      </c>
      <c r="G112" s="215">
        <v>599</v>
      </c>
      <c r="H112" s="216">
        <v>423.9303</v>
      </c>
      <c r="I112" s="214">
        <v>392</v>
      </c>
      <c r="J112" s="214">
        <v>2</v>
      </c>
      <c r="K112" s="214">
        <v>2</v>
      </c>
      <c r="L112" s="217">
        <v>5</v>
      </c>
      <c r="M112" s="217">
        <v>2</v>
      </c>
      <c r="N112" s="217"/>
      <c r="O112" s="217"/>
      <c r="P112" s="220" t="s">
        <v>170</v>
      </c>
      <c r="Q112" s="215">
        <v>9</v>
      </c>
      <c r="R112" s="219" t="s">
        <v>25</v>
      </c>
      <c r="S112" s="215" t="s">
        <v>26</v>
      </c>
      <c r="T112" s="105">
        <f t="shared" si="5"/>
        <v>7.065505</v>
      </c>
      <c r="U112" s="105">
        <f t="shared" si="6"/>
        <v>0.065504999999999</v>
      </c>
    </row>
    <row r="113" spans="1:21">
      <c r="A113" s="213">
        <v>110</v>
      </c>
      <c r="B113" s="213" t="s">
        <v>22</v>
      </c>
      <c r="C113" s="214" t="s">
        <v>163</v>
      </c>
      <c r="D113" s="214" t="s">
        <v>171</v>
      </c>
      <c r="E113" s="213">
        <v>6679</v>
      </c>
      <c r="F113" s="214">
        <v>6504</v>
      </c>
      <c r="G113" s="215">
        <v>483</v>
      </c>
      <c r="H113" s="216">
        <v>233.0971</v>
      </c>
      <c r="I113" s="214">
        <v>227</v>
      </c>
      <c r="J113" s="214">
        <v>2</v>
      </c>
      <c r="K113" s="214">
        <v>2</v>
      </c>
      <c r="L113" s="217">
        <v>4</v>
      </c>
      <c r="M113" s="217">
        <v>2</v>
      </c>
      <c r="N113" s="217">
        <v>1</v>
      </c>
      <c r="O113" s="217">
        <v>1</v>
      </c>
      <c r="P113" s="220">
        <v>100</v>
      </c>
      <c r="Q113" s="215">
        <v>13</v>
      </c>
      <c r="R113" s="219" t="s">
        <v>25</v>
      </c>
      <c r="S113" s="215" t="s">
        <v>26</v>
      </c>
      <c r="T113" s="105">
        <f t="shared" si="5"/>
        <v>3.88495166666667</v>
      </c>
      <c r="U113" s="105">
        <f t="shared" si="6"/>
        <v>-4.11504833333333</v>
      </c>
    </row>
    <row r="114" spans="1:21">
      <c r="A114" s="213">
        <v>111</v>
      </c>
      <c r="B114" s="213" t="s">
        <v>22</v>
      </c>
      <c r="C114" s="214" t="s">
        <v>163</v>
      </c>
      <c r="D114" s="214" t="s">
        <v>172</v>
      </c>
      <c r="E114" s="213">
        <v>10346</v>
      </c>
      <c r="F114" s="214">
        <v>11232</v>
      </c>
      <c r="G114" s="215">
        <v>264</v>
      </c>
      <c r="H114" s="216">
        <v>361.0754</v>
      </c>
      <c r="I114" s="214">
        <v>392</v>
      </c>
      <c r="J114" s="214">
        <v>2</v>
      </c>
      <c r="K114" s="214">
        <v>2</v>
      </c>
      <c r="L114" s="217">
        <v>3</v>
      </c>
      <c r="M114" s="217">
        <v>1</v>
      </c>
      <c r="N114" s="217">
        <v>1</v>
      </c>
      <c r="O114" s="217">
        <v>1</v>
      </c>
      <c r="P114" s="220">
        <v>55</v>
      </c>
      <c r="Q114" s="215">
        <v>9</v>
      </c>
      <c r="R114" s="219" t="s">
        <v>25</v>
      </c>
      <c r="S114" s="215" t="s">
        <v>26</v>
      </c>
      <c r="T114" s="105">
        <f t="shared" si="5"/>
        <v>6.01792333333333</v>
      </c>
      <c r="U114" s="105">
        <f t="shared" si="6"/>
        <v>0.0179233333333331</v>
      </c>
    </row>
    <row r="115" ht="29" spans="1:21">
      <c r="A115" s="213">
        <v>112</v>
      </c>
      <c r="B115" s="213" t="s">
        <v>22</v>
      </c>
      <c r="C115" s="214" t="s">
        <v>163</v>
      </c>
      <c r="D115" s="214" t="s">
        <v>173</v>
      </c>
      <c r="E115" s="213">
        <v>12640</v>
      </c>
      <c r="F115" s="214">
        <v>13095</v>
      </c>
      <c r="G115" s="215">
        <v>511</v>
      </c>
      <c r="H115" s="216">
        <v>441.136</v>
      </c>
      <c r="I115" s="214">
        <v>457</v>
      </c>
      <c r="J115" s="214">
        <v>3</v>
      </c>
      <c r="K115" s="214">
        <v>2</v>
      </c>
      <c r="L115" s="217">
        <v>4</v>
      </c>
      <c r="M115" s="217">
        <v>2</v>
      </c>
      <c r="N115" s="217">
        <v>0</v>
      </c>
      <c r="O115" s="217">
        <v>1</v>
      </c>
      <c r="P115" s="220">
        <v>15</v>
      </c>
      <c r="Q115" s="215">
        <v>22</v>
      </c>
      <c r="R115" s="219" t="s">
        <v>165</v>
      </c>
      <c r="S115" s="215" t="s">
        <v>26</v>
      </c>
      <c r="T115" s="105">
        <f t="shared" si="5"/>
        <v>7.35226666666667</v>
      </c>
      <c r="U115" s="105">
        <f t="shared" si="6"/>
        <v>0.352266666666668</v>
      </c>
    </row>
    <row r="116" spans="1:21">
      <c r="A116" s="213">
        <v>113</v>
      </c>
      <c r="B116" s="213" t="s">
        <v>22</v>
      </c>
      <c r="C116" s="214" t="s">
        <v>163</v>
      </c>
      <c r="D116" s="214" t="s">
        <v>174</v>
      </c>
      <c r="E116" s="213">
        <v>11167</v>
      </c>
      <c r="F116" s="214">
        <v>10831</v>
      </c>
      <c r="G116" s="215">
        <v>514</v>
      </c>
      <c r="H116" s="216">
        <v>389.7283</v>
      </c>
      <c r="I116" s="214">
        <v>378</v>
      </c>
      <c r="J116" s="214">
        <v>3</v>
      </c>
      <c r="K116" s="214">
        <v>2</v>
      </c>
      <c r="L116" s="217">
        <v>4</v>
      </c>
      <c r="M116" s="217">
        <v>2</v>
      </c>
      <c r="N116" s="217">
        <v>1</v>
      </c>
      <c r="O116" s="217"/>
      <c r="P116" s="220">
        <v>73</v>
      </c>
      <c r="Q116" s="215">
        <v>16</v>
      </c>
      <c r="R116" s="219" t="s">
        <v>25</v>
      </c>
      <c r="S116" s="215" t="s">
        <v>26</v>
      </c>
      <c r="T116" s="105">
        <f t="shared" si="5"/>
        <v>6.49547166666667</v>
      </c>
      <c r="U116" s="105">
        <f t="shared" si="6"/>
        <v>-0.504528333333333</v>
      </c>
    </row>
    <row r="117" spans="1:21">
      <c r="A117" s="213">
        <v>114</v>
      </c>
      <c r="B117" s="213" t="s">
        <v>22</v>
      </c>
      <c r="C117" s="214" t="s">
        <v>163</v>
      </c>
      <c r="D117" s="214" t="s">
        <v>175</v>
      </c>
      <c r="E117" s="213">
        <v>12672</v>
      </c>
      <c r="F117" s="214">
        <v>12837</v>
      </c>
      <c r="G117" s="215">
        <v>429</v>
      </c>
      <c r="H117" s="216">
        <v>442.2528</v>
      </c>
      <c r="I117" s="214">
        <v>448</v>
      </c>
      <c r="J117" s="214">
        <v>3</v>
      </c>
      <c r="K117" s="214">
        <v>2</v>
      </c>
      <c r="L117" s="217">
        <v>4</v>
      </c>
      <c r="M117" s="217">
        <v>2</v>
      </c>
      <c r="N117" s="217">
        <v>1</v>
      </c>
      <c r="O117" s="217">
        <v>1</v>
      </c>
      <c r="P117" s="220">
        <v>121</v>
      </c>
      <c r="Q117" s="215" t="s">
        <v>36</v>
      </c>
      <c r="R117" s="219" t="s">
        <v>36</v>
      </c>
      <c r="S117" s="215" t="s">
        <v>36</v>
      </c>
      <c r="T117" s="105">
        <f t="shared" si="5"/>
        <v>7.37088</v>
      </c>
      <c r="U117" s="105">
        <f t="shared" si="6"/>
        <v>-0.629119999999999</v>
      </c>
    </row>
    <row r="118" spans="1:21">
      <c r="A118" s="213">
        <v>115</v>
      </c>
      <c r="B118" s="213" t="s">
        <v>22</v>
      </c>
      <c r="C118" s="214" t="s">
        <v>163</v>
      </c>
      <c r="D118" s="214" t="s">
        <v>176</v>
      </c>
      <c r="E118" s="213">
        <v>12141</v>
      </c>
      <c r="F118" s="214">
        <v>23840</v>
      </c>
      <c r="G118" s="215">
        <v>504</v>
      </c>
      <c r="H118" s="216">
        <v>423.7209</v>
      </c>
      <c r="I118" s="214">
        <v>832</v>
      </c>
      <c r="J118" s="214">
        <v>2</v>
      </c>
      <c r="K118" s="214">
        <v>2</v>
      </c>
      <c r="L118" s="217">
        <v>4</v>
      </c>
      <c r="M118" s="217">
        <v>2</v>
      </c>
      <c r="N118" s="217"/>
      <c r="O118" s="217">
        <v>1</v>
      </c>
      <c r="P118" s="220">
        <v>7</v>
      </c>
      <c r="Q118" s="215">
        <v>22</v>
      </c>
      <c r="R118" s="219" t="s">
        <v>25</v>
      </c>
      <c r="S118" s="215" t="s">
        <v>26</v>
      </c>
      <c r="T118" s="105">
        <f t="shared" si="5"/>
        <v>7.062015</v>
      </c>
      <c r="U118" s="105">
        <f t="shared" si="6"/>
        <v>0.0620149999999997</v>
      </c>
    </row>
    <row r="119" spans="1:21">
      <c r="A119" s="213">
        <v>116</v>
      </c>
      <c r="B119" s="213" t="s">
        <v>22</v>
      </c>
      <c r="C119" s="214" t="s">
        <v>163</v>
      </c>
      <c r="D119" s="214" t="s">
        <v>177</v>
      </c>
      <c r="E119" s="213">
        <v>9280</v>
      </c>
      <c r="F119" s="214">
        <v>18052</v>
      </c>
      <c r="G119" s="215">
        <v>452</v>
      </c>
      <c r="H119" s="216">
        <v>323.872</v>
      </c>
      <c r="I119" s="214">
        <v>630</v>
      </c>
      <c r="J119" s="214">
        <v>2</v>
      </c>
      <c r="K119" s="214">
        <v>2</v>
      </c>
      <c r="L119" s="217">
        <v>4</v>
      </c>
      <c r="M119" s="217">
        <v>2</v>
      </c>
      <c r="N119" s="217">
        <v>1</v>
      </c>
      <c r="O119" s="217">
        <v>1</v>
      </c>
      <c r="P119" s="220">
        <v>101</v>
      </c>
      <c r="Q119" s="215">
        <v>8</v>
      </c>
      <c r="R119" s="219" t="s">
        <v>25</v>
      </c>
      <c r="S119" s="215" t="s">
        <v>26</v>
      </c>
      <c r="T119" s="105">
        <f t="shared" si="5"/>
        <v>5.39786666666667</v>
      </c>
      <c r="U119" s="105">
        <f t="shared" si="6"/>
        <v>-2.60213333333333</v>
      </c>
    </row>
    <row r="120" spans="1:21">
      <c r="A120" s="213">
        <v>117</v>
      </c>
      <c r="B120" s="213" t="s">
        <v>22</v>
      </c>
      <c r="C120" s="214" t="s">
        <v>163</v>
      </c>
      <c r="D120" s="214" t="s">
        <v>178</v>
      </c>
      <c r="E120" s="213">
        <v>10389</v>
      </c>
      <c r="F120" s="214">
        <v>10917</v>
      </c>
      <c r="G120" s="215">
        <v>359</v>
      </c>
      <c r="H120" s="216">
        <v>362.5761</v>
      </c>
      <c r="I120" s="214">
        <v>381</v>
      </c>
      <c r="J120" s="214">
        <v>3</v>
      </c>
      <c r="K120" s="214">
        <v>2</v>
      </c>
      <c r="L120" s="217">
        <v>3</v>
      </c>
      <c r="M120" s="217">
        <v>2</v>
      </c>
      <c r="N120" s="217">
        <v>0</v>
      </c>
      <c r="O120" s="217"/>
      <c r="P120" s="220">
        <v>42</v>
      </c>
      <c r="Q120" s="215">
        <v>10</v>
      </c>
      <c r="R120" s="219" t="s">
        <v>25</v>
      </c>
      <c r="S120" s="215" t="s">
        <v>26</v>
      </c>
      <c r="T120" s="105">
        <f t="shared" si="5"/>
        <v>6.042935</v>
      </c>
      <c r="U120" s="105">
        <f t="shared" si="6"/>
        <v>1.042935</v>
      </c>
    </row>
    <row r="121" spans="1:21">
      <c r="A121" s="213">
        <v>118</v>
      </c>
      <c r="B121" s="213" t="s">
        <v>22</v>
      </c>
      <c r="C121" s="214" t="s">
        <v>163</v>
      </c>
      <c r="D121" s="214" t="s">
        <v>179</v>
      </c>
      <c r="E121" s="213">
        <v>9658</v>
      </c>
      <c r="F121" s="214">
        <v>8510</v>
      </c>
      <c r="G121" s="215">
        <v>422</v>
      </c>
      <c r="H121" s="216">
        <v>337.0642</v>
      </c>
      <c r="I121" s="214">
        <v>297</v>
      </c>
      <c r="J121" s="214">
        <v>2</v>
      </c>
      <c r="K121" s="214">
        <v>2</v>
      </c>
      <c r="L121" s="217">
        <v>4</v>
      </c>
      <c r="M121" s="217">
        <v>3</v>
      </c>
      <c r="N121" s="217">
        <v>1</v>
      </c>
      <c r="O121" s="217">
        <v>1</v>
      </c>
      <c r="P121" s="220">
        <v>30</v>
      </c>
      <c r="Q121" s="215">
        <v>6</v>
      </c>
      <c r="R121" s="219" t="s">
        <v>25</v>
      </c>
      <c r="S121" s="215" t="s">
        <v>26</v>
      </c>
      <c r="T121" s="105">
        <f t="shared" si="5"/>
        <v>5.61773666666667</v>
      </c>
      <c r="U121" s="105">
        <f t="shared" si="6"/>
        <v>-3.38226333333333</v>
      </c>
    </row>
    <row r="122" spans="1:21">
      <c r="A122" s="213">
        <v>119</v>
      </c>
      <c r="B122" s="213" t="s">
        <v>22</v>
      </c>
      <c r="C122" s="214" t="s">
        <v>163</v>
      </c>
      <c r="D122" s="214" t="s">
        <v>180</v>
      </c>
      <c r="E122" s="213">
        <v>9675</v>
      </c>
      <c r="F122" s="214">
        <v>9857</v>
      </c>
      <c r="G122" s="215">
        <v>409</v>
      </c>
      <c r="H122" s="216">
        <v>337.6575</v>
      </c>
      <c r="I122" s="214">
        <v>344</v>
      </c>
      <c r="J122" s="214">
        <v>3</v>
      </c>
      <c r="K122" s="214">
        <v>2</v>
      </c>
      <c r="L122" s="217">
        <v>4</v>
      </c>
      <c r="M122" s="217">
        <v>2</v>
      </c>
      <c r="N122" s="217">
        <v>1</v>
      </c>
      <c r="O122" s="217">
        <v>1</v>
      </c>
      <c r="P122" s="220">
        <v>83</v>
      </c>
      <c r="Q122" s="215">
        <v>15</v>
      </c>
      <c r="R122" s="219" t="s">
        <v>25</v>
      </c>
      <c r="S122" s="215" t="s">
        <v>26</v>
      </c>
      <c r="T122" s="105">
        <f t="shared" si="5"/>
        <v>5.627625</v>
      </c>
      <c r="U122" s="105">
        <f t="shared" si="6"/>
        <v>-2.372375</v>
      </c>
    </row>
    <row r="123" spans="1:21">
      <c r="A123" s="213">
        <v>120</v>
      </c>
      <c r="B123" s="213" t="s">
        <v>22</v>
      </c>
      <c r="C123" s="214" t="s">
        <v>163</v>
      </c>
      <c r="D123" s="214" t="s">
        <v>181</v>
      </c>
      <c r="E123" s="213">
        <v>11394</v>
      </c>
      <c r="F123" s="214">
        <v>11519</v>
      </c>
      <c r="G123" s="215">
        <v>409</v>
      </c>
      <c r="H123" s="216">
        <v>397.6506</v>
      </c>
      <c r="I123" s="214">
        <v>402</v>
      </c>
      <c r="J123" s="214">
        <v>3</v>
      </c>
      <c r="K123" s="214">
        <v>2</v>
      </c>
      <c r="L123" s="217">
        <v>4</v>
      </c>
      <c r="M123" s="217">
        <v>2</v>
      </c>
      <c r="N123" s="217">
        <v>1</v>
      </c>
      <c r="O123" s="217"/>
      <c r="P123" s="220">
        <v>64</v>
      </c>
      <c r="Q123" s="215">
        <v>11</v>
      </c>
      <c r="R123" s="219" t="s">
        <v>25</v>
      </c>
      <c r="S123" s="215" t="s">
        <v>26</v>
      </c>
      <c r="T123" s="105">
        <f t="shared" si="5"/>
        <v>6.62751</v>
      </c>
      <c r="U123" s="105">
        <f t="shared" si="6"/>
        <v>-0.37249</v>
      </c>
    </row>
    <row r="124" spans="1:21">
      <c r="A124" s="213">
        <v>121</v>
      </c>
      <c r="B124" s="213" t="s">
        <v>22</v>
      </c>
      <c r="C124" s="214" t="s">
        <v>163</v>
      </c>
      <c r="D124" s="214" t="s">
        <v>182</v>
      </c>
      <c r="E124" s="213">
        <v>8180</v>
      </c>
      <c r="F124" s="214">
        <v>9685</v>
      </c>
      <c r="G124" s="215">
        <v>478</v>
      </c>
      <c r="H124" s="216">
        <v>285.482</v>
      </c>
      <c r="I124" s="214">
        <v>338</v>
      </c>
      <c r="J124" s="214">
        <v>3</v>
      </c>
      <c r="K124" s="214">
        <v>2</v>
      </c>
      <c r="L124" s="217">
        <v>4</v>
      </c>
      <c r="M124" s="217">
        <v>2</v>
      </c>
      <c r="N124" s="217">
        <v>1</v>
      </c>
      <c r="O124" s="217"/>
      <c r="P124" s="220">
        <v>56</v>
      </c>
      <c r="Q124" s="215" t="s">
        <v>36</v>
      </c>
      <c r="R124" s="219" t="s">
        <v>36</v>
      </c>
      <c r="S124" s="215" t="s">
        <v>36</v>
      </c>
      <c r="T124" s="105">
        <f t="shared" si="5"/>
        <v>4.75803333333333</v>
      </c>
      <c r="U124" s="105">
        <f t="shared" si="6"/>
        <v>-2.24196666666667</v>
      </c>
    </row>
    <row r="125" spans="1:21">
      <c r="A125" s="213">
        <v>122</v>
      </c>
      <c r="B125" s="213" t="s">
        <v>22</v>
      </c>
      <c r="C125" s="214" t="s">
        <v>163</v>
      </c>
      <c r="D125" s="214" t="s">
        <v>183</v>
      </c>
      <c r="E125" s="213">
        <v>10226</v>
      </c>
      <c r="F125" s="214">
        <v>10630</v>
      </c>
      <c r="G125" s="215">
        <v>385</v>
      </c>
      <c r="H125" s="216">
        <v>356.8874</v>
      </c>
      <c r="I125" s="214">
        <v>371</v>
      </c>
      <c r="J125" s="214">
        <v>2</v>
      </c>
      <c r="K125" s="214">
        <v>2</v>
      </c>
      <c r="L125" s="217">
        <v>4</v>
      </c>
      <c r="M125" s="217">
        <v>2</v>
      </c>
      <c r="N125" s="217">
        <v>1</v>
      </c>
      <c r="O125" s="217"/>
      <c r="P125" s="220">
        <v>60</v>
      </c>
      <c r="Q125" s="215">
        <v>12</v>
      </c>
      <c r="R125" s="219" t="s">
        <v>25</v>
      </c>
      <c r="S125" s="215" t="s">
        <v>26</v>
      </c>
      <c r="T125" s="105">
        <f t="shared" si="5"/>
        <v>5.94812333333333</v>
      </c>
      <c r="U125" s="105">
        <f t="shared" si="6"/>
        <v>-1.05187666666667</v>
      </c>
    </row>
    <row r="126" spans="1:21">
      <c r="A126" s="213">
        <v>123</v>
      </c>
      <c r="B126" s="213" t="s">
        <v>22</v>
      </c>
      <c r="C126" s="214" t="s">
        <v>163</v>
      </c>
      <c r="D126" s="214" t="s">
        <v>184</v>
      </c>
      <c r="E126" s="213">
        <v>8097</v>
      </c>
      <c r="F126" s="214">
        <v>8739</v>
      </c>
      <c r="G126" s="215">
        <v>309</v>
      </c>
      <c r="H126" s="216">
        <v>282.5853</v>
      </c>
      <c r="I126" s="214">
        <v>305</v>
      </c>
      <c r="J126" s="214">
        <v>4</v>
      </c>
      <c r="K126" s="214">
        <v>2</v>
      </c>
      <c r="L126" s="217">
        <v>3</v>
      </c>
      <c r="M126" s="217">
        <v>1</v>
      </c>
      <c r="N126" s="217"/>
      <c r="O126" s="217"/>
      <c r="P126" s="220">
        <v>57</v>
      </c>
      <c r="Q126" s="215" t="s">
        <v>36</v>
      </c>
      <c r="R126" s="219" t="s">
        <v>36</v>
      </c>
      <c r="S126" s="215" t="s">
        <v>36</v>
      </c>
      <c r="T126" s="105">
        <f t="shared" si="5"/>
        <v>4.709755</v>
      </c>
      <c r="U126" s="105">
        <f t="shared" si="6"/>
        <v>0.709755</v>
      </c>
    </row>
    <row r="127" spans="1:21">
      <c r="A127" s="213">
        <v>124</v>
      </c>
      <c r="B127" s="213" t="s">
        <v>22</v>
      </c>
      <c r="C127" s="214" t="s">
        <v>163</v>
      </c>
      <c r="D127" s="214" t="s">
        <v>185</v>
      </c>
      <c r="E127" s="213">
        <v>15658</v>
      </c>
      <c r="F127" s="214">
        <v>15874</v>
      </c>
      <c r="G127" s="215">
        <v>577</v>
      </c>
      <c r="H127" s="216">
        <v>546.4642</v>
      </c>
      <c r="I127" s="214">
        <v>554</v>
      </c>
      <c r="J127" s="214">
        <v>2</v>
      </c>
      <c r="K127" s="214">
        <v>2</v>
      </c>
      <c r="L127" s="217">
        <v>4</v>
      </c>
      <c r="M127" s="217">
        <v>2</v>
      </c>
      <c r="N127" s="217">
        <v>1</v>
      </c>
      <c r="O127" s="217">
        <v>1</v>
      </c>
      <c r="P127" s="220">
        <v>14</v>
      </c>
      <c r="Q127" s="215">
        <v>15</v>
      </c>
      <c r="R127" s="219" t="s">
        <v>25</v>
      </c>
      <c r="S127" s="215" t="s">
        <v>26</v>
      </c>
      <c r="T127" s="105">
        <f t="shared" si="5"/>
        <v>9.10773666666667</v>
      </c>
      <c r="U127" s="105">
        <f t="shared" si="6"/>
        <v>1.10773666666667</v>
      </c>
    </row>
    <row r="128" spans="1:21">
      <c r="A128" s="213">
        <v>125</v>
      </c>
      <c r="B128" s="213" t="s">
        <v>22</v>
      </c>
      <c r="C128" s="214" t="s">
        <v>163</v>
      </c>
      <c r="D128" s="214" t="s">
        <v>186</v>
      </c>
      <c r="E128" s="213">
        <v>10203</v>
      </c>
      <c r="F128" s="214">
        <v>10544</v>
      </c>
      <c r="G128" s="215">
        <v>438</v>
      </c>
      <c r="H128" s="216">
        <v>356.0847</v>
      </c>
      <c r="I128" s="214">
        <v>368</v>
      </c>
      <c r="J128" s="214">
        <v>3</v>
      </c>
      <c r="K128" s="214">
        <v>2</v>
      </c>
      <c r="L128" s="217">
        <v>4</v>
      </c>
      <c r="M128" s="217">
        <v>2</v>
      </c>
      <c r="N128" s="217">
        <v>1</v>
      </c>
      <c r="O128" s="217"/>
      <c r="P128" s="220">
        <v>101</v>
      </c>
      <c r="Q128" s="215">
        <v>6</v>
      </c>
      <c r="R128" s="219" t="s">
        <v>25</v>
      </c>
      <c r="S128" s="215" t="s">
        <v>26</v>
      </c>
      <c r="T128" s="105">
        <f t="shared" si="5"/>
        <v>5.934745</v>
      </c>
      <c r="U128" s="105">
        <f t="shared" si="6"/>
        <v>-1.065255</v>
      </c>
    </row>
    <row r="129" spans="1:21">
      <c r="A129" s="213">
        <v>126</v>
      </c>
      <c r="B129" s="213" t="s">
        <v>22</v>
      </c>
      <c r="C129" s="214" t="s">
        <v>163</v>
      </c>
      <c r="D129" s="214" t="s">
        <v>187</v>
      </c>
      <c r="E129" s="213">
        <v>11268</v>
      </c>
      <c r="F129" s="214">
        <v>10602</v>
      </c>
      <c r="G129" s="215">
        <v>450</v>
      </c>
      <c r="H129" s="216">
        <v>393.2532</v>
      </c>
      <c r="I129" s="214">
        <v>370</v>
      </c>
      <c r="J129" s="214">
        <v>4</v>
      </c>
      <c r="K129" s="214">
        <v>2</v>
      </c>
      <c r="L129" s="217">
        <v>4</v>
      </c>
      <c r="M129" s="217">
        <v>2</v>
      </c>
      <c r="N129" s="217">
        <v>1</v>
      </c>
      <c r="O129" s="217"/>
      <c r="P129" s="220">
        <v>20</v>
      </c>
      <c r="Q129" s="215">
        <v>12</v>
      </c>
      <c r="R129" s="219" t="s">
        <v>25</v>
      </c>
      <c r="S129" s="215" t="s">
        <v>26</v>
      </c>
      <c r="T129" s="105">
        <f t="shared" si="5"/>
        <v>6.55422</v>
      </c>
      <c r="U129" s="105">
        <f t="shared" si="6"/>
        <v>-0.445779999999999</v>
      </c>
    </row>
    <row r="130" spans="1:21">
      <c r="A130" s="213">
        <v>127</v>
      </c>
      <c r="B130" s="213" t="s">
        <v>22</v>
      </c>
      <c r="C130" s="214" t="s">
        <v>163</v>
      </c>
      <c r="D130" s="214" t="s">
        <v>188</v>
      </c>
      <c r="E130" s="213">
        <v>10083</v>
      </c>
      <c r="F130" s="214">
        <v>9169</v>
      </c>
      <c r="G130" s="215">
        <v>397</v>
      </c>
      <c r="H130" s="216">
        <v>351.8967</v>
      </c>
      <c r="I130" s="214">
        <v>320</v>
      </c>
      <c r="J130" s="214">
        <v>3</v>
      </c>
      <c r="K130" s="214">
        <v>2</v>
      </c>
      <c r="L130" s="217">
        <v>4</v>
      </c>
      <c r="M130" s="217">
        <v>2</v>
      </c>
      <c r="N130" s="217">
        <v>1</v>
      </c>
      <c r="O130" s="217">
        <v>1</v>
      </c>
      <c r="P130" s="220">
        <v>113</v>
      </c>
      <c r="Q130" s="215">
        <v>11</v>
      </c>
      <c r="R130" s="219" t="s">
        <v>25</v>
      </c>
      <c r="S130" s="215" t="s">
        <v>26</v>
      </c>
      <c r="T130" s="105">
        <f t="shared" si="5"/>
        <v>5.864945</v>
      </c>
      <c r="U130" s="105">
        <f t="shared" si="6"/>
        <v>-2.135055</v>
      </c>
    </row>
    <row r="131" spans="1:21">
      <c r="A131" s="213">
        <v>128</v>
      </c>
      <c r="B131" s="213" t="s">
        <v>22</v>
      </c>
      <c r="C131" s="214" t="s">
        <v>163</v>
      </c>
      <c r="D131" s="214" t="s">
        <v>189</v>
      </c>
      <c r="E131" s="213">
        <v>12364</v>
      </c>
      <c r="F131" s="214">
        <v>11891</v>
      </c>
      <c r="G131" s="215">
        <v>542</v>
      </c>
      <c r="H131" s="216">
        <v>431.5036</v>
      </c>
      <c r="I131" s="214">
        <v>415</v>
      </c>
      <c r="J131" s="214">
        <v>2</v>
      </c>
      <c r="K131" s="214">
        <v>2</v>
      </c>
      <c r="L131" s="217">
        <v>4</v>
      </c>
      <c r="M131" s="217">
        <v>3</v>
      </c>
      <c r="N131" s="217">
        <v>1</v>
      </c>
      <c r="O131" s="217">
        <v>1</v>
      </c>
      <c r="P131" s="220">
        <v>29</v>
      </c>
      <c r="Q131" s="215">
        <v>9</v>
      </c>
      <c r="R131" s="219" t="s">
        <v>25</v>
      </c>
      <c r="S131" s="215" t="s">
        <v>26</v>
      </c>
      <c r="T131" s="105">
        <f t="shared" si="5"/>
        <v>7.19172666666667</v>
      </c>
      <c r="U131" s="105">
        <f t="shared" si="6"/>
        <v>-1.80827333333333</v>
      </c>
    </row>
    <row r="132" spans="1:21">
      <c r="A132" s="213">
        <v>129</v>
      </c>
      <c r="B132" s="213" t="s">
        <v>22</v>
      </c>
      <c r="C132" s="214" t="s">
        <v>163</v>
      </c>
      <c r="D132" s="214" t="s">
        <v>190</v>
      </c>
      <c r="E132" s="213">
        <v>11657</v>
      </c>
      <c r="F132" s="214">
        <v>10401</v>
      </c>
      <c r="G132" s="215">
        <v>430</v>
      </c>
      <c r="H132" s="216">
        <v>406.8293</v>
      </c>
      <c r="I132" s="214">
        <v>363</v>
      </c>
      <c r="J132" s="214">
        <v>4</v>
      </c>
      <c r="K132" s="214">
        <v>2</v>
      </c>
      <c r="L132" s="217">
        <v>4</v>
      </c>
      <c r="M132" s="217">
        <v>2</v>
      </c>
      <c r="N132" s="217">
        <v>1</v>
      </c>
      <c r="O132" s="217"/>
      <c r="P132" s="220">
        <v>35</v>
      </c>
      <c r="Q132" s="215">
        <v>9</v>
      </c>
      <c r="R132" s="219" t="s">
        <v>25</v>
      </c>
      <c r="S132" s="215" t="s">
        <v>26</v>
      </c>
      <c r="T132" s="105">
        <f t="shared" si="5"/>
        <v>6.78048833333333</v>
      </c>
      <c r="U132" s="105">
        <f t="shared" si="6"/>
        <v>-0.219511666666667</v>
      </c>
    </row>
    <row r="133" spans="1:21">
      <c r="A133" s="213">
        <v>130</v>
      </c>
      <c r="B133" s="213" t="s">
        <v>22</v>
      </c>
      <c r="C133" s="214" t="s">
        <v>163</v>
      </c>
      <c r="D133" s="214" t="s">
        <v>191</v>
      </c>
      <c r="E133" s="213">
        <v>6488</v>
      </c>
      <c r="F133" s="214">
        <v>5759</v>
      </c>
      <c r="G133" s="215">
        <v>213</v>
      </c>
      <c r="H133" s="216">
        <v>226.4312</v>
      </c>
      <c r="I133" s="214">
        <v>201</v>
      </c>
      <c r="J133" s="214">
        <v>2</v>
      </c>
      <c r="K133" s="214">
        <v>2</v>
      </c>
      <c r="L133" s="217">
        <v>3</v>
      </c>
      <c r="M133" s="217">
        <v>1</v>
      </c>
      <c r="N133" s="217">
        <v>1</v>
      </c>
      <c r="O133" s="217">
        <v>1</v>
      </c>
      <c r="P133" s="220">
        <v>72</v>
      </c>
      <c r="Q133" s="215">
        <v>15</v>
      </c>
      <c r="R133" s="219" t="s">
        <v>25</v>
      </c>
      <c r="S133" s="215" t="s">
        <v>26</v>
      </c>
      <c r="T133" s="105">
        <f t="shared" si="5"/>
        <v>3.77385333333333</v>
      </c>
      <c r="U133" s="105">
        <f t="shared" si="6"/>
        <v>-2.22614666666667</v>
      </c>
    </row>
    <row r="134" spans="1:21">
      <c r="A134" s="213">
        <v>131</v>
      </c>
      <c r="B134" s="213" t="s">
        <v>22</v>
      </c>
      <c r="C134" s="214" t="s">
        <v>163</v>
      </c>
      <c r="D134" s="214" t="s">
        <v>192</v>
      </c>
      <c r="E134" s="213">
        <v>10293</v>
      </c>
      <c r="F134" s="214">
        <v>9857</v>
      </c>
      <c r="G134" s="215">
        <v>460</v>
      </c>
      <c r="H134" s="216">
        <v>359.2257</v>
      </c>
      <c r="I134" s="214">
        <v>344</v>
      </c>
      <c r="J134" s="214">
        <v>3</v>
      </c>
      <c r="K134" s="214">
        <v>3</v>
      </c>
      <c r="L134" s="217">
        <v>4</v>
      </c>
      <c r="M134" s="217">
        <v>2</v>
      </c>
      <c r="N134" s="217">
        <v>1</v>
      </c>
      <c r="O134" s="217">
        <v>1</v>
      </c>
      <c r="P134" s="220">
        <v>60</v>
      </c>
      <c r="Q134" s="215">
        <v>9</v>
      </c>
      <c r="R134" s="219" t="s">
        <v>25</v>
      </c>
      <c r="S134" s="215" t="s">
        <v>26</v>
      </c>
      <c r="T134" s="105">
        <f t="shared" si="5"/>
        <v>5.987095</v>
      </c>
      <c r="U134" s="105">
        <f t="shared" si="6"/>
        <v>-2.012905</v>
      </c>
    </row>
    <row r="135" spans="1:21">
      <c r="A135" s="213">
        <v>132</v>
      </c>
      <c r="B135" s="213" t="s">
        <v>22</v>
      </c>
      <c r="C135" s="214" t="s">
        <v>163</v>
      </c>
      <c r="D135" s="214" t="s">
        <v>193</v>
      </c>
      <c r="E135" s="213">
        <v>14523</v>
      </c>
      <c r="F135" s="214">
        <v>17335</v>
      </c>
      <c r="G135" s="215">
        <v>580</v>
      </c>
      <c r="H135" s="216">
        <v>506.8527</v>
      </c>
      <c r="I135" s="214">
        <v>605</v>
      </c>
      <c r="J135" s="214">
        <v>2</v>
      </c>
      <c r="K135" s="214">
        <v>2</v>
      </c>
      <c r="L135" s="217">
        <v>8</v>
      </c>
      <c r="M135" s="217">
        <v>3</v>
      </c>
      <c r="N135" s="217">
        <v>1</v>
      </c>
      <c r="O135" s="217"/>
      <c r="P135" s="220">
        <v>54</v>
      </c>
      <c r="Q135" s="215">
        <v>81</v>
      </c>
      <c r="R135" s="219" t="s">
        <v>25</v>
      </c>
      <c r="S135" s="215" t="s">
        <v>26</v>
      </c>
      <c r="T135" s="105">
        <f t="shared" si="5"/>
        <v>8.447545</v>
      </c>
      <c r="U135" s="105">
        <f t="shared" si="6"/>
        <v>-3.552455</v>
      </c>
    </row>
    <row r="136" hidden="1" spans="1:21">
      <c r="A136" s="213"/>
      <c r="B136" s="213"/>
      <c r="C136" s="213"/>
      <c r="D136" s="214"/>
      <c r="E136" s="213"/>
      <c r="F136" s="213"/>
      <c r="G136" s="221"/>
      <c r="H136" s="216"/>
      <c r="I136" s="213"/>
      <c r="J136" s="213"/>
      <c r="K136" s="213"/>
      <c r="L136" s="213"/>
      <c r="M136" s="213"/>
      <c r="N136" s="213"/>
      <c r="O136" s="213"/>
      <c r="P136" s="213"/>
      <c r="Q136" s="213"/>
      <c r="R136" s="213"/>
      <c r="S136" s="213"/>
    </row>
    <row r="137" hidden="1" spans="1:21">
      <c r="A137" s="213">
        <v>134</v>
      </c>
      <c r="B137" s="213" t="s">
        <v>137</v>
      </c>
      <c r="C137" s="214" t="s">
        <v>194</v>
      </c>
      <c r="D137" s="214" t="s">
        <v>195</v>
      </c>
      <c r="E137" s="213">
        <v>9731</v>
      </c>
      <c r="F137" s="214">
        <v>16017</v>
      </c>
      <c r="G137" s="219">
        <v>378</v>
      </c>
      <c r="H137" s="216">
        <v>339.6119</v>
      </c>
      <c r="I137" s="214">
        <v>559</v>
      </c>
      <c r="J137" s="214">
        <v>2</v>
      </c>
      <c r="K137" s="214">
        <v>2</v>
      </c>
      <c r="L137" s="219" t="s">
        <v>148</v>
      </c>
      <c r="M137" s="219" t="s">
        <v>196</v>
      </c>
      <c r="N137" s="219" t="s">
        <v>197</v>
      </c>
      <c r="O137" s="219" t="s">
        <v>197</v>
      </c>
      <c r="P137" s="219" t="s">
        <v>198</v>
      </c>
      <c r="Q137" s="215">
        <v>16</v>
      </c>
      <c r="R137" s="215" t="s">
        <v>25</v>
      </c>
      <c r="S137" s="215" t="s">
        <v>26</v>
      </c>
    </row>
    <row r="138" hidden="1" spans="1:21">
      <c r="A138" s="213">
        <v>135</v>
      </c>
      <c r="B138" s="213" t="s">
        <v>137</v>
      </c>
      <c r="C138" s="214" t="s">
        <v>194</v>
      </c>
      <c r="D138" s="214" t="s">
        <v>199</v>
      </c>
      <c r="E138" s="213">
        <v>18459</v>
      </c>
      <c r="F138" s="214">
        <v>35043</v>
      </c>
      <c r="G138" s="219">
        <v>717</v>
      </c>
      <c r="H138" s="216">
        <v>644.2191</v>
      </c>
      <c r="I138" s="214">
        <v>1223</v>
      </c>
      <c r="J138" s="214">
        <v>6</v>
      </c>
      <c r="K138" s="214">
        <v>2</v>
      </c>
      <c r="L138" s="219" t="s">
        <v>159</v>
      </c>
      <c r="M138" s="219" t="s">
        <v>200</v>
      </c>
      <c r="N138" s="219" t="s">
        <v>197</v>
      </c>
      <c r="O138" s="219" t="s">
        <v>197</v>
      </c>
      <c r="P138" s="219" t="s">
        <v>141</v>
      </c>
      <c r="Q138" s="215">
        <v>15</v>
      </c>
      <c r="R138" s="215" t="s">
        <v>25</v>
      </c>
      <c r="S138" s="215" t="s">
        <v>29</v>
      </c>
    </row>
    <row r="139" hidden="1" spans="1:21">
      <c r="A139" s="213">
        <v>136</v>
      </c>
      <c r="B139" s="213" t="s">
        <v>137</v>
      </c>
      <c r="C139" s="214" t="s">
        <v>194</v>
      </c>
      <c r="D139" s="214" t="s">
        <v>201</v>
      </c>
      <c r="E139" s="213">
        <v>10104</v>
      </c>
      <c r="F139" s="214">
        <v>10315</v>
      </c>
      <c r="G139" s="219">
        <v>392</v>
      </c>
      <c r="H139" s="216">
        <v>352.6296</v>
      </c>
      <c r="I139" s="214">
        <v>360</v>
      </c>
      <c r="J139" s="214">
        <v>3</v>
      </c>
      <c r="K139" s="214">
        <v>2</v>
      </c>
      <c r="L139" s="219" t="s">
        <v>153</v>
      </c>
      <c r="M139" s="219" t="s">
        <v>196</v>
      </c>
      <c r="N139" s="219" t="s">
        <v>197</v>
      </c>
      <c r="O139" s="219" t="s">
        <v>197</v>
      </c>
      <c r="P139" s="219" t="s">
        <v>202</v>
      </c>
      <c r="Q139" s="215">
        <v>15</v>
      </c>
      <c r="R139" s="215" t="s">
        <v>25</v>
      </c>
      <c r="S139" s="215" t="s">
        <v>26</v>
      </c>
    </row>
    <row r="140" hidden="1" spans="1:21">
      <c r="A140" s="213">
        <v>137</v>
      </c>
      <c r="B140" s="213" t="s">
        <v>137</v>
      </c>
      <c r="C140" s="214" t="s">
        <v>194</v>
      </c>
      <c r="D140" s="214" t="s">
        <v>203</v>
      </c>
      <c r="E140" s="213">
        <v>8275</v>
      </c>
      <c r="F140" s="214">
        <v>16017</v>
      </c>
      <c r="G140" s="219">
        <v>322</v>
      </c>
      <c r="H140" s="216">
        <v>288.7975</v>
      </c>
      <c r="I140" s="214">
        <v>559</v>
      </c>
      <c r="J140" s="214">
        <v>3</v>
      </c>
      <c r="K140" s="214">
        <v>2</v>
      </c>
      <c r="L140" s="219" t="s">
        <v>140</v>
      </c>
      <c r="M140" s="219">
        <v>2</v>
      </c>
      <c r="N140" s="219" t="s">
        <v>197</v>
      </c>
      <c r="O140" s="219" t="s">
        <v>197</v>
      </c>
      <c r="P140" s="219" t="s">
        <v>204</v>
      </c>
      <c r="Q140" s="215">
        <v>25</v>
      </c>
      <c r="R140" s="215" t="s">
        <v>25</v>
      </c>
      <c r="S140" s="215" t="s">
        <v>26</v>
      </c>
    </row>
    <row r="141" hidden="1" spans="1:21">
      <c r="A141" s="213">
        <v>138</v>
      </c>
      <c r="B141" s="213" t="s">
        <v>137</v>
      </c>
      <c r="C141" s="214" t="s">
        <v>194</v>
      </c>
      <c r="D141" s="214" t="s">
        <v>205</v>
      </c>
      <c r="E141" s="213">
        <v>8734</v>
      </c>
      <c r="F141" s="214">
        <v>8739</v>
      </c>
      <c r="G141" s="219">
        <v>339</v>
      </c>
      <c r="H141" s="216">
        <v>304.8166</v>
      </c>
      <c r="I141" s="214">
        <v>305</v>
      </c>
      <c r="J141" s="214">
        <v>3</v>
      </c>
      <c r="K141" s="214">
        <v>2</v>
      </c>
      <c r="L141" s="219" t="s">
        <v>148</v>
      </c>
      <c r="M141" s="219" t="s">
        <v>196</v>
      </c>
      <c r="N141" s="219" t="s">
        <v>197</v>
      </c>
      <c r="O141" s="219" t="s">
        <v>197</v>
      </c>
      <c r="P141" s="219" t="s">
        <v>206</v>
      </c>
      <c r="Q141" s="215">
        <v>9</v>
      </c>
      <c r="R141" s="215" t="s">
        <v>25</v>
      </c>
      <c r="S141" s="215" t="s">
        <v>26</v>
      </c>
    </row>
    <row r="142" hidden="1" spans="1:21">
      <c r="A142" s="213">
        <v>139</v>
      </c>
      <c r="B142" s="213" t="s">
        <v>137</v>
      </c>
      <c r="C142" s="214" t="s">
        <v>194</v>
      </c>
      <c r="D142" s="214" t="s">
        <v>207</v>
      </c>
      <c r="E142" s="213">
        <v>11731</v>
      </c>
      <c r="F142" s="214">
        <v>14756</v>
      </c>
      <c r="G142" s="219">
        <v>455</v>
      </c>
      <c r="H142" s="216">
        <v>409.4119</v>
      </c>
      <c r="I142" s="214">
        <v>515</v>
      </c>
      <c r="J142" s="214">
        <v>3</v>
      </c>
      <c r="K142" s="214">
        <v>2</v>
      </c>
      <c r="L142" s="219" t="s">
        <v>153</v>
      </c>
      <c r="M142" s="219" t="s">
        <v>196</v>
      </c>
      <c r="N142" s="219" t="s">
        <v>197</v>
      </c>
      <c r="O142" s="219" t="s">
        <v>197</v>
      </c>
      <c r="P142" s="219" t="s">
        <v>208</v>
      </c>
      <c r="Q142" s="215">
        <v>20</v>
      </c>
      <c r="R142" s="215" t="s">
        <v>25</v>
      </c>
      <c r="S142" s="215" t="s">
        <v>26</v>
      </c>
    </row>
    <row r="143" hidden="1" spans="1:21">
      <c r="A143" s="213">
        <v>140</v>
      </c>
      <c r="B143" s="213" t="s">
        <v>137</v>
      </c>
      <c r="C143" s="214" t="s">
        <v>194</v>
      </c>
      <c r="D143" s="214" t="s">
        <v>209</v>
      </c>
      <c r="E143" s="213">
        <v>11148</v>
      </c>
      <c r="F143" s="214">
        <v>21547</v>
      </c>
      <c r="G143" s="219">
        <v>434</v>
      </c>
      <c r="H143" s="216">
        <v>389.0652</v>
      </c>
      <c r="I143" s="214">
        <v>752</v>
      </c>
      <c r="J143" s="214">
        <v>3</v>
      </c>
      <c r="K143" s="214">
        <v>2</v>
      </c>
      <c r="L143" s="219" t="s">
        <v>153</v>
      </c>
      <c r="M143" s="219" t="s">
        <v>196</v>
      </c>
      <c r="N143" s="219" t="s">
        <v>197</v>
      </c>
      <c r="O143" s="219" t="s">
        <v>197</v>
      </c>
      <c r="P143" s="219" t="s">
        <v>210</v>
      </c>
      <c r="Q143" s="215">
        <v>30</v>
      </c>
      <c r="R143" s="215" t="s">
        <v>25</v>
      </c>
      <c r="S143" s="215" t="s">
        <v>26</v>
      </c>
    </row>
    <row r="144" hidden="1" spans="1:21">
      <c r="A144" s="213">
        <v>141</v>
      </c>
      <c r="B144" s="213" t="s">
        <v>137</v>
      </c>
      <c r="C144" s="214" t="s">
        <v>194</v>
      </c>
      <c r="D144" s="214" t="s">
        <v>211</v>
      </c>
      <c r="E144" s="213">
        <v>9172</v>
      </c>
      <c r="F144" s="214">
        <v>15960</v>
      </c>
      <c r="G144" s="219">
        <v>356</v>
      </c>
      <c r="H144" s="216">
        <v>320.1028</v>
      </c>
      <c r="I144" s="214">
        <v>557</v>
      </c>
      <c r="J144" s="214">
        <v>3</v>
      </c>
      <c r="K144" s="214">
        <v>2</v>
      </c>
      <c r="L144" s="219" t="s">
        <v>153</v>
      </c>
      <c r="M144" s="219" t="s">
        <v>196</v>
      </c>
      <c r="N144" s="219" t="s">
        <v>197</v>
      </c>
      <c r="O144" s="219" t="s">
        <v>197</v>
      </c>
      <c r="P144" s="219" t="s">
        <v>212</v>
      </c>
      <c r="Q144" s="215">
        <v>22</v>
      </c>
      <c r="R144" s="215" t="s">
        <v>25</v>
      </c>
      <c r="S144" s="215" t="s">
        <v>26</v>
      </c>
    </row>
    <row r="145" hidden="1" spans="1:19">
      <c r="A145" s="213">
        <v>142</v>
      </c>
      <c r="B145" s="213" t="s">
        <v>137</v>
      </c>
      <c r="C145" s="214" t="s">
        <v>194</v>
      </c>
      <c r="D145" s="214" t="s">
        <v>213</v>
      </c>
      <c r="E145" s="213">
        <v>11497</v>
      </c>
      <c r="F145" s="214">
        <v>21719</v>
      </c>
      <c r="G145" s="219">
        <v>443</v>
      </c>
      <c r="H145" s="216">
        <v>401.2453</v>
      </c>
      <c r="I145" s="214">
        <v>758</v>
      </c>
      <c r="J145" s="214">
        <v>4</v>
      </c>
      <c r="K145" s="214">
        <v>2</v>
      </c>
      <c r="L145" s="219" t="s">
        <v>153</v>
      </c>
      <c r="M145" s="219" t="s">
        <v>196</v>
      </c>
      <c r="N145" s="219" t="s">
        <v>142</v>
      </c>
      <c r="O145" s="219" t="s">
        <v>142</v>
      </c>
      <c r="P145" s="219" t="s">
        <v>214</v>
      </c>
      <c r="Q145" s="215">
        <v>25</v>
      </c>
      <c r="R145" s="215" t="s">
        <v>25</v>
      </c>
      <c r="S145" s="215" t="s">
        <v>26</v>
      </c>
    </row>
    <row r="146" hidden="1" spans="1:19">
      <c r="A146" s="213">
        <v>143</v>
      </c>
      <c r="B146" s="213" t="s">
        <v>137</v>
      </c>
      <c r="C146" s="214" t="s">
        <v>194</v>
      </c>
      <c r="D146" s="214" t="s">
        <v>215</v>
      </c>
      <c r="E146" s="213">
        <v>12398</v>
      </c>
      <c r="F146" s="214">
        <v>22808</v>
      </c>
      <c r="G146" s="219">
        <v>481</v>
      </c>
      <c r="H146" s="216">
        <v>432.6902</v>
      </c>
      <c r="I146" s="214">
        <v>796</v>
      </c>
      <c r="J146" s="214">
        <v>3</v>
      </c>
      <c r="K146" s="214">
        <v>2</v>
      </c>
      <c r="L146" s="219" t="s">
        <v>153</v>
      </c>
      <c r="M146" s="219" t="s">
        <v>196</v>
      </c>
      <c r="N146" s="219" t="s">
        <v>197</v>
      </c>
      <c r="O146" s="219" t="s">
        <v>197</v>
      </c>
      <c r="P146" s="219" t="s">
        <v>216</v>
      </c>
      <c r="Q146" s="215">
        <v>18</v>
      </c>
      <c r="R146" s="215" t="s">
        <v>25</v>
      </c>
      <c r="S146" s="215" t="s">
        <v>26</v>
      </c>
    </row>
    <row r="147" hidden="1" spans="1:19">
      <c r="A147" s="213">
        <v>144</v>
      </c>
      <c r="B147" s="213" t="s">
        <v>137</v>
      </c>
      <c r="C147" s="214" t="s">
        <v>194</v>
      </c>
      <c r="D147" s="214" t="s">
        <v>217</v>
      </c>
      <c r="E147" s="213">
        <v>9474</v>
      </c>
      <c r="F147" s="214">
        <v>17077</v>
      </c>
      <c r="G147" s="219">
        <v>368</v>
      </c>
      <c r="H147" s="216">
        <v>330.6426</v>
      </c>
      <c r="I147" s="214">
        <v>596</v>
      </c>
      <c r="J147" s="214">
        <v>2</v>
      </c>
      <c r="K147" s="214">
        <v>2</v>
      </c>
      <c r="L147" s="219" t="s">
        <v>148</v>
      </c>
      <c r="M147" s="219" t="s">
        <v>218</v>
      </c>
      <c r="N147" s="219" t="s">
        <v>197</v>
      </c>
      <c r="O147" s="219" t="s">
        <v>197</v>
      </c>
      <c r="P147" s="219" t="s">
        <v>219</v>
      </c>
      <c r="Q147" s="215" t="s">
        <v>36</v>
      </c>
      <c r="R147" s="215" t="s">
        <v>36</v>
      </c>
      <c r="S147" s="215" t="s">
        <v>36</v>
      </c>
    </row>
    <row r="148" hidden="1" spans="1:19">
      <c r="A148" s="213">
        <v>145</v>
      </c>
      <c r="B148" s="213" t="s">
        <v>137</v>
      </c>
      <c r="C148" s="214" t="s">
        <v>194</v>
      </c>
      <c r="D148" s="214" t="s">
        <v>220</v>
      </c>
      <c r="E148" s="213">
        <v>6155</v>
      </c>
      <c r="F148" s="214">
        <v>9226</v>
      </c>
      <c r="G148" s="219">
        <v>239</v>
      </c>
      <c r="H148" s="216">
        <v>214.8095</v>
      </c>
      <c r="I148" s="214">
        <v>322</v>
      </c>
      <c r="J148" s="214">
        <v>3</v>
      </c>
      <c r="K148" s="214">
        <v>2</v>
      </c>
      <c r="L148" s="219" t="s">
        <v>141</v>
      </c>
      <c r="M148" s="219" t="s">
        <v>218</v>
      </c>
      <c r="N148" s="219" t="s">
        <v>197</v>
      </c>
      <c r="O148" s="219" t="s">
        <v>197</v>
      </c>
      <c r="P148" s="219" t="s">
        <v>221</v>
      </c>
      <c r="Q148" s="215">
        <v>16</v>
      </c>
      <c r="R148" s="215" t="s">
        <v>25</v>
      </c>
      <c r="S148" s="215" t="s">
        <v>26</v>
      </c>
    </row>
    <row r="149" hidden="1" spans="1:19">
      <c r="A149" s="213">
        <v>146</v>
      </c>
      <c r="B149" s="213" t="s">
        <v>137</v>
      </c>
      <c r="C149" s="214" t="s">
        <v>194</v>
      </c>
      <c r="D149" s="214" t="s">
        <v>222</v>
      </c>
      <c r="E149" s="213">
        <v>7769</v>
      </c>
      <c r="F149" s="214">
        <v>13238</v>
      </c>
      <c r="G149" s="219">
        <v>302</v>
      </c>
      <c r="H149" s="216">
        <v>271.1381</v>
      </c>
      <c r="I149" s="214">
        <v>462</v>
      </c>
      <c r="J149" s="214">
        <v>4</v>
      </c>
      <c r="K149" s="214">
        <v>2</v>
      </c>
      <c r="L149" s="219" t="s">
        <v>148</v>
      </c>
      <c r="M149" s="219" t="s">
        <v>218</v>
      </c>
      <c r="N149" s="219">
        <v>0</v>
      </c>
      <c r="O149" s="219" t="s">
        <v>142</v>
      </c>
      <c r="P149" s="219" t="s">
        <v>223</v>
      </c>
      <c r="Q149" s="215" t="s">
        <v>36</v>
      </c>
      <c r="R149" s="215" t="s">
        <v>36</v>
      </c>
      <c r="S149" s="215" t="s">
        <v>36</v>
      </c>
    </row>
    <row r="150" hidden="1" spans="1:19">
      <c r="A150" s="213">
        <v>147</v>
      </c>
      <c r="B150" s="213" t="s">
        <v>137</v>
      </c>
      <c r="C150" s="214" t="s">
        <v>194</v>
      </c>
      <c r="D150" s="214" t="s">
        <v>224</v>
      </c>
      <c r="E150" s="213">
        <v>8047</v>
      </c>
      <c r="F150" s="214">
        <v>7708</v>
      </c>
      <c r="G150" s="219">
        <v>313</v>
      </c>
      <c r="H150" s="216">
        <v>280.8403</v>
      </c>
      <c r="I150" s="214">
        <v>269</v>
      </c>
      <c r="J150" s="214">
        <v>2</v>
      </c>
      <c r="K150" s="214"/>
      <c r="L150" s="219" t="s">
        <v>148</v>
      </c>
      <c r="M150" s="219" t="s">
        <v>218</v>
      </c>
      <c r="N150" s="219" t="s">
        <v>142</v>
      </c>
      <c r="O150" s="219" t="s">
        <v>142</v>
      </c>
      <c r="P150" s="219" t="s">
        <v>225</v>
      </c>
      <c r="Q150" s="215" t="s">
        <v>36</v>
      </c>
      <c r="R150" s="215" t="s">
        <v>36</v>
      </c>
      <c r="S150" s="215" t="s">
        <v>36</v>
      </c>
    </row>
    <row r="151" hidden="1" spans="1:19">
      <c r="A151" s="213">
        <v>148</v>
      </c>
      <c r="B151" s="213" t="s">
        <v>137</v>
      </c>
      <c r="C151" s="214" t="s">
        <v>194</v>
      </c>
      <c r="D151" s="214" t="s">
        <v>226</v>
      </c>
      <c r="E151" s="213">
        <v>12314</v>
      </c>
      <c r="F151" s="214">
        <v>16017</v>
      </c>
      <c r="G151" s="219">
        <v>478</v>
      </c>
      <c r="H151" s="216">
        <v>429.7586</v>
      </c>
      <c r="I151" s="214">
        <v>559</v>
      </c>
      <c r="J151" s="214">
        <v>5</v>
      </c>
      <c r="K151" s="214">
        <v>2</v>
      </c>
      <c r="L151" s="219" t="s">
        <v>153</v>
      </c>
      <c r="M151" s="219" t="s">
        <v>196</v>
      </c>
      <c r="N151" s="219" t="s">
        <v>197</v>
      </c>
      <c r="O151" s="219" t="s">
        <v>197</v>
      </c>
      <c r="P151" s="219" t="s">
        <v>227</v>
      </c>
      <c r="Q151" s="215">
        <v>17</v>
      </c>
      <c r="R151" s="215" t="s">
        <v>25</v>
      </c>
      <c r="S151" s="215" t="s">
        <v>26</v>
      </c>
    </row>
    <row r="152" hidden="1" spans="1:19">
      <c r="A152" s="213">
        <v>149</v>
      </c>
      <c r="B152" s="213" t="s">
        <v>137</v>
      </c>
      <c r="C152" s="214" t="s">
        <v>194</v>
      </c>
      <c r="D152" s="214" t="s">
        <v>228</v>
      </c>
      <c r="E152" s="213">
        <v>9239</v>
      </c>
      <c r="F152" s="214">
        <v>8768</v>
      </c>
      <c r="G152" s="219">
        <v>358</v>
      </c>
      <c r="H152" s="216">
        <v>322.4411</v>
      </c>
      <c r="I152" s="214">
        <v>306</v>
      </c>
      <c r="J152" s="214">
        <v>4</v>
      </c>
      <c r="K152" s="214">
        <v>2</v>
      </c>
      <c r="L152" s="219" t="s">
        <v>141</v>
      </c>
      <c r="M152" s="219" t="s">
        <v>196</v>
      </c>
      <c r="N152" s="219" t="s">
        <v>197</v>
      </c>
      <c r="O152" s="219" t="s">
        <v>197</v>
      </c>
      <c r="P152" s="219" t="s">
        <v>198</v>
      </c>
      <c r="Q152" s="215">
        <v>18</v>
      </c>
      <c r="R152" s="215" t="s">
        <v>25</v>
      </c>
      <c r="S152" s="215" t="s">
        <v>26</v>
      </c>
    </row>
    <row r="153" hidden="1" spans="1:19">
      <c r="A153" s="213">
        <v>150</v>
      </c>
      <c r="B153" s="213" t="s">
        <v>137</v>
      </c>
      <c r="C153" s="214" t="s">
        <v>194</v>
      </c>
      <c r="D153" s="214" t="s">
        <v>229</v>
      </c>
      <c r="E153" s="213">
        <v>8046</v>
      </c>
      <c r="F153" s="214">
        <v>14241</v>
      </c>
      <c r="G153" s="219">
        <v>313</v>
      </c>
      <c r="H153" s="216">
        <v>280.8054</v>
      </c>
      <c r="I153" s="214">
        <v>497</v>
      </c>
      <c r="J153" s="214">
        <v>4</v>
      </c>
      <c r="K153" s="214">
        <v>2</v>
      </c>
      <c r="L153" s="219" t="s">
        <v>141</v>
      </c>
      <c r="M153" s="219" t="s">
        <v>218</v>
      </c>
      <c r="N153" s="219" t="s">
        <v>197</v>
      </c>
      <c r="O153" s="219" t="s">
        <v>197</v>
      </c>
      <c r="P153" s="219" t="s">
        <v>230</v>
      </c>
      <c r="Q153" s="215">
        <v>45</v>
      </c>
      <c r="R153" s="215" t="s">
        <v>25</v>
      </c>
      <c r="S153" s="215" t="s">
        <v>26</v>
      </c>
    </row>
    <row r="154" hidden="1" spans="1:19">
      <c r="A154" s="213">
        <v>151</v>
      </c>
      <c r="B154" s="213" t="s">
        <v>137</v>
      </c>
      <c r="C154" s="214" t="s">
        <v>194</v>
      </c>
      <c r="D154" s="214" t="s">
        <v>231</v>
      </c>
      <c r="E154" s="213">
        <v>11238</v>
      </c>
      <c r="F154" s="214">
        <v>22292</v>
      </c>
      <c r="G154" s="219">
        <v>436</v>
      </c>
      <c r="H154" s="216">
        <v>392.2062</v>
      </c>
      <c r="I154" s="214">
        <v>778</v>
      </c>
      <c r="J154" s="214">
        <v>4</v>
      </c>
      <c r="K154" s="214">
        <v>2</v>
      </c>
      <c r="L154" s="219">
        <v>6</v>
      </c>
      <c r="M154" s="219">
        <v>2</v>
      </c>
      <c r="N154" s="219">
        <v>0</v>
      </c>
      <c r="O154" s="219">
        <v>0</v>
      </c>
      <c r="P154" s="219">
        <v>80</v>
      </c>
      <c r="Q154" s="215">
        <v>22</v>
      </c>
      <c r="R154" s="215" t="s">
        <v>25</v>
      </c>
      <c r="S154" s="215" t="s">
        <v>26</v>
      </c>
    </row>
    <row r="155" hidden="1" spans="1:19">
      <c r="A155" s="213">
        <v>152</v>
      </c>
      <c r="B155" s="213" t="s">
        <v>137</v>
      </c>
      <c r="C155" s="214" t="s">
        <v>194</v>
      </c>
      <c r="D155" s="214" t="s">
        <v>232</v>
      </c>
      <c r="E155" s="213">
        <v>8000</v>
      </c>
      <c r="F155" s="214">
        <v>16017</v>
      </c>
      <c r="G155" s="219">
        <v>311</v>
      </c>
      <c r="H155" s="216">
        <v>279.2</v>
      </c>
      <c r="I155" s="214">
        <v>559</v>
      </c>
      <c r="J155" s="214">
        <v>2</v>
      </c>
      <c r="K155" s="214">
        <v>2</v>
      </c>
      <c r="L155" s="219">
        <v>3</v>
      </c>
      <c r="M155" s="219">
        <v>1</v>
      </c>
      <c r="N155" s="219">
        <v>0</v>
      </c>
      <c r="O155" s="219">
        <v>0</v>
      </c>
      <c r="P155" s="219">
        <v>32</v>
      </c>
      <c r="Q155" s="215" t="s">
        <v>36</v>
      </c>
      <c r="R155" s="215" t="s">
        <v>36</v>
      </c>
      <c r="S155" s="215" t="s">
        <v>36</v>
      </c>
    </row>
    <row r="156" hidden="1" spans="1:19">
      <c r="A156" s="213">
        <v>153</v>
      </c>
      <c r="B156" s="213" t="s">
        <v>137</v>
      </c>
      <c r="C156" s="214" t="s">
        <v>194</v>
      </c>
      <c r="D156" s="214" t="s">
        <v>233</v>
      </c>
      <c r="E156" s="213">
        <v>8555</v>
      </c>
      <c r="F156" s="214">
        <v>14756</v>
      </c>
      <c r="G156" s="219">
        <v>333</v>
      </c>
      <c r="H156" s="216">
        <v>298.5695</v>
      </c>
      <c r="I156" s="214">
        <v>515</v>
      </c>
      <c r="J156" s="214">
        <v>3</v>
      </c>
      <c r="K156" s="214">
        <v>2</v>
      </c>
      <c r="L156" s="219">
        <v>3</v>
      </c>
      <c r="M156" s="219">
        <v>1</v>
      </c>
      <c r="N156" s="219">
        <v>0</v>
      </c>
      <c r="O156" s="219">
        <v>0</v>
      </c>
      <c r="P156" s="219">
        <v>130</v>
      </c>
      <c r="Q156" s="215">
        <v>10</v>
      </c>
      <c r="R156" s="215" t="s">
        <v>25</v>
      </c>
      <c r="S156" s="215" t="s">
        <v>26</v>
      </c>
    </row>
    <row r="157" hidden="1" spans="1:19">
      <c r="A157" s="213">
        <v>154</v>
      </c>
      <c r="B157" s="213" t="s">
        <v>137</v>
      </c>
      <c r="C157" s="214" t="s">
        <v>194</v>
      </c>
      <c r="D157" s="214" t="s">
        <v>234</v>
      </c>
      <c r="E157" s="213">
        <v>10080</v>
      </c>
      <c r="F157" s="214">
        <v>19026</v>
      </c>
      <c r="G157" s="219">
        <v>391</v>
      </c>
      <c r="H157" s="216">
        <v>351.792</v>
      </c>
      <c r="I157" s="214">
        <v>664</v>
      </c>
      <c r="J157" s="214">
        <v>3</v>
      </c>
      <c r="K157" s="214">
        <v>2</v>
      </c>
      <c r="L157" s="219">
        <v>6</v>
      </c>
      <c r="M157" s="219">
        <v>2</v>
      </c>
      <c r="N157" s="219">
        <v>0</v>
      </c>
      <c r="O157" s="219">
        <v>0</v>
      </c>
      <c r="P157" s="219">
        <v>42</v>
      </c>
      <c r="Q157" s="215">
        <v>21</v>
      </c>
      <c r="R157" s="215" t="s">
        <v>25</v>
      </c>
      <c r="S157" s="215" t="s">
        <v>26</v>
      </c>
    </row>
    <row r="158" hidden="1" spans="1:19">
      <c r="A158" s="213">
        <v>155</v>
      </c>
      <c r="B158" s="213" t="s">
        <v>137</v>
      </c>
      <c r="C158" s="214" t="s">
        <v>194</v>
      </c>
      <c r="D158" s="214" t="s">
        <v>235</v>
      </c>
      <c r="E158" s="213">
        <v>7937</v>
      </c>
      <c r="F158" s="214">
        <v>7564</v>
      </c>
      <c r="G158" s="219">
        <v>309</v>
      </c>
      <c r="H158" s="216">
        <v>277.0013</v>
      </c>
      <c r="I158" s="214">
        <v>264</v>
      </c>
      <c r="J158" s="214">
        <v>2</v>
      </c>
      <c r="K158" s="214">
        <v>2</v>
      </c>
      <c r="L158" s="219">
        <v>3</v>
      </c>
      <c r="M158" s="219">
        <v>1</v>
      </c>
      <c r="N158" s="219">
        <v>0</v>
      </c>
      <c r="O158" s="219">
        <v>0</v>
      </c>
      <c r="P158" s="219">
        <v>115</v>
      </c>
      <c r="Q158" s="215">
        <v>8</v>
      </c>
      <c r="R158" s="215" t="s">
        <v>25</v>
      </c>
      <c r="S158" s="215" t="s">
        <v>26</v>
      </c>
    </row>
    <row r="159" hidden="1" spans="1:19">
      <c r="A159" s="213">
        <v>156</v>
      </c>
      <c r="B159" s="213" t="s">
        <v>137</v>
      </c>
      <c r="C159" s="214" t="s">
        <v>194</v>
      </c>
      <c r="D159" s="214" t="s">
        <v>236</v>
      </c>
      <c r="E159" s="213">
        <v>9857</v>
      </c>
      <c r="F159" s="214">
        <v>18768</v>
      </c>
      <c r="G159" s="219">
        <v>382</v>
      </c>
      <c r="H159" s="216">
        <v>344.0093</v>
      </c>
      <c r="I159" s="214">
        <v>655</v>
      </c>
      <c r="J159" s="214">
        <v>4</v>
      </c>
      <c r="K159" s="214">
        <v>2</v>
      </c>
      <c r="L159" s="219">
        <v>6</v>
      </c>
      <c r="M159" s="219">
        <v>2</v>
      </c>
      <c r="N159" s="219">
        <v>0</v>
      </c>
      <c r="O159" s="219">
        <v>0</v>
      </c>
      <c r="P159" s="219">
        <v>100</v>
      </c>
      <c r="Q159" s="215">
        <v>22</v>
      </c>
      <c r="R159" s="215" t="s">
        <v>25</v>
      </c>
      <c r="S159" s="215" t="s">
        <v>26</v>
      </c>
    </row>
    <row r="160" hidden="1" spans="1:19">
      <c r="A160" s="213">
        <v>157</v>
      </c>
      <c r="B160" s="213" t="s">
        <v>137</v>
      </c>
      <c r="C160" s="214" t="s">
        <v>194</v>
      </c>
      <c r="D160" s="214" t="s">
        <v>237</v>
      </c>
      <c r="E160" s="213">
        <v>17188</v>
      </c>
      <c r="F160" s="214">
        <v>16017</v>
      </c>
      <c r="G160" s="219">
        <v>667</v>
      </c>
      <c r="H160" s="216">
        <v>599.8612</v>
      </c>
      <c r="I160" s="214">
        <v>559</v>
      </c>
      <c r="J160" s="214">
        <v>4</v>
      </c>
      <c r="K160" s="214">
        <v>2</v>
      </c>
      <c r="L160" s="219">
        <v>8</v>
      </c>
      <c r="M160" s="219">
        <v>4</v>
      </c>
      <c r="N160" s="219">
        <v>0</v>
      </c>
      <c r="O160" s="219">
        <v>0</v>
      </c>
      <c r="P160" s="219">
        <v>54</v>
      </c>
      <c r="Q160" s="215">
        <v>21</v>
      </c>
      <c r="R160" s="215" t="s">
        <v>25</v>
      </c>
      <c r="S160" s="215" t="s">
        <v>26</v>
      </c>
    </row>
    <row r="161" hidden="1" spans="1:21">
      <c r="A161" s="213">
        <v>158</v>
      </c>
      <c r="B161" s="213" t="s">
        <v>137</v>
      </c>
      <c r="C161" s="214" t="s">
        <v>194</v>
      </c>
      <c r="D161" s="214" t="s">
        <v>238</v>
      </c>
      <c r="E161" s="213">
        <v>7592</v>
      </c>
      <c r="F161" s="214">
        <v>16017</v>
      </c>
      <c r="G161" s="219">
        <v>294</v>
      </c>
      <c r="H161" s="216">
        <v>264.9608</v>
      </c>
      <c r="I161" s="214">
        <v>559</v>
      </c>
      <c r="J161" s="214">
        <v>2</v>
      </c>
      <c r="K161" s="214">
        <v>2</v>
      </c>
      <c r="L161" s="219">
        <v>3</v>
      </c>
      <c r="M161" s="219">
        <v>1</v>
      </c>
      <c r="N161" s="219">
        <v>0</v>
      </c>
      <c r="O161" s="219">
        <v>0</v>
      </c>
      <c r="P161" s="219">
        <v>152</v>
      </c>
      <c r="Q161" s="215">
        <v>15</v>
      </c>
      <c r="R161" s="215" t="s">
        <v>25</v>
      </c>
      <c r="S161" s="215" t="s">
        <v>26</v>
      </c>
    </row>
    <row r="162" hidden="1" spans="1:21">
      <c r="A162" s="213">
        <v>159</v>
      </c>
      <c r="B162" s="213" t="s">
        <v>137</v>
      </c>
      <c r="C162" s="214" t="s">
        <v>194</v>
      </c>
      <c r="D162" s="214" t="s">
        <v>239</v>
      </c>
      <c r="E162" s="213">
        <v>6085</v>
      </c>
      <c r="F162" s="214">
        <v>16017</v>
      </c>
      <c r="G162" s="219">
        <v>236</v>
      </c>
      <c r="H162" s="216">
        <v>212.3665</v>
      </c>
      <c r="I162" s="214">
        <v>559</v>
      </c>
      <c r="J162" s="214">
        <v>3</v>
      </c>
      <c r="K162" s="214">
        <v>2</v>
      </c>
      <c r="L162" s="219">
        <v>3</v>
      </c>
      <c r="M162" s="219">
        <v>1</v>
      </c>
      <c r="N162" s="219">
        <v>0</v>
      </c>
      <c r="O162" s="219">
        <v>0</v>
      </c>
      <c r="P162" s="219">
        <v>30</v>
      </c>
      <c r="Q162" s="215" t="s">
        <v>36</v>
      </c>
      <c r="R162" s="215" t="s">
        <v>36</v>
      </c>
      <c r="S162" s="215" t="s">
        <v>36</v>
      </c>
    </row>
    <row r="163" hidden="1" spans="1:21">
      <c r="A163" s="213">
        <v>160</v>
      </c>
      <c r="B163" s="213" t="s">
        <v>137</v>
      </c>
      <c r="C163" s="214" t="s">
        <v>194</v>
      </c>
      <c r="D163" s="214" t="s">
        <v>240</v>
      </c>
      <c r="E163" s="213">
        <v>7910</v>
      </c>
      <c r="F163" s="214">
        <v>7908</v>
      </c>
      <c r="G163" s="219">
        <v>307</v>
      </c>
      <c r="H163" s="216">
        <v>276.059</v>
      </c>
      <c r="I163" s="214">
        <v>276</v>
      </c>
      <c r="J163" s="214">
        <v>2</v>
      </c>
      <c r="K163" s="214">
        <v>2</v>
      </c>
      <c r="L163" s="219">
        <v>4</v>
      </c>
      <c r="M163" s="219">
        <v>1</v>
      </c>
      <c r="N163" s="219">
        <v>0</v>
      </c>
      <c r="O163" s="219">
        <v>0</v>
      </c>
      <c r="P163" s="219">
        <v>75</v>
      </c>
      <c r="Q163" s="215" t="s">
        <v>36</v>
      </c>
      <c r="R163" s="215" t="s">
        <v>36</v>
      </c>
      <c r="S163" s="215" t="s">
        <v>36</v>
      </c>
    </row>
    <row r="164" hidden="1" spans="1:21">
      <c r="A164" s="213"/>
      <c r="B164" s="213"/>
      <c r="C164" s="213"/>
      <c r="D164" s="214"/>
      <c r="E164" s="213"/>
      <c r="F164" s="213"/>
      <c r="G164" s="221"/>
      <c r="H164" s="216"/>
      <c r="I164" s="213"/>
      <c r="J164" s="213"/>
      <c r="K164" s="213"/>
      <c r="L164" s="213"/>
      <c r="M164" s="213"/>
      <c r="N164" s="213"/>
      <c r="O164" s="213"/>
      <c r="P164" s="213"/>
      <c r="Q164" s="213"/>
      <c r="R164" s="213"/>
      <c r="S164" s="213"/>
    </row>
    <row r="165" spans="1:21">
      <c r="A165" s="213">
        <v>162</v>
      </c>
      <c r="B165" s="213" t="s">
        <v>22</v>
      </c>
      <c r="C165" s="214" t="s">
        <v>241</v>
      </c>
      <c r="D165" s="214" t="s">
        <v>242</v>
      </c>
      <c r="E165" s="213">
        <v>11899</v>
      </c>
      <c r="F165" s="214">
        <v>17249</v>
      </c>
      <c r="G165" s="219">
        <v>446</v>
      </c>
      <c r="H165" s="216">
        <v>415.2751</v>
      </c>
      <c r="I165" s="214">
        <v>602</v>
      </c>
      <c r="J165" s="214">
        <v>4</v>
      </c>
      <c r="K165" s="214">
        <v>2</v>
      </c>
      <c r="L165" s="213"/>
      <c r="M165" s="213"/>
      <c r="N165" s="213"/>
      <c r="O165" s="213"/>
      <c r="P165" s="218">
        <v>204</v>
      </c>
      <c r="Q165" s="215">
        <v>12</v>
      </c>
      <c r="R165" s="215" t="s">
        <v>25</v>
      </c>
      <c r="S165" s="215" t="s">
        <v>26</v>
      </c>
      <c r="T165" s="105">
        <f t="shared" ref="T165:T183" si="7">H165*5/25/12</f>
        <v>6.92125166666667</v>
      </c>
      <c r="U165" s="105">
        <f t="shared" ref="U165:U183" si="8">T165-L165-M165-N165-O165</f>
        <v>6.92125166666667</v>
      </c>
    </row>
    <row r="166" spans="1:21">
      <c r="A166" s="213">
        <v>163</v>
      </c>
      <c r="B166" s="213" t="s">
        <v>22</v>
      </c>
      <c r="C166" s="214" t="s">
        <v>241</v>
      </c>
      <c r="D166" s="214" t="s">
        <v>243</v>
      </c>
      <c r="E166" s="213">
        <v>6912</v>
      </c>
      <c r="F166" s="214">
        <v>10000</v>
      </c>
      <c r="G166" s="219">
        <v>276</v>
      </c>
      <c r="H166" s="216">
        <v>241.2288</v>
      </c>
      <c r="I166" s="214">
        <v>349</v>
      </c>
      <c r="J166" s="214">
        <v>2</v>
      </c>
      <c r="K166" s="214">
        <v>2</v>
      </c>
      <c r="L166" s="213"/>
      <c r="M166" s="213"/>
      <c r="N166" s="213"/>
      <c r="O166" s="213"/>
      <c r="P166" s="218">
        <v>140</v>
      </c>
      <c r="Q166" s="215">
        <v>25</v>
      </c>
      <c r="R166" s="215" t="s">
        <v>25</v>
      </c>
      <c r="S166" s="215" t="s">
        <v>26</v>
      </c>
      <c r="T166" s="105">
        <f t="shared" si="7"/>
        <v>4.02048</v>
      </c>
      <c r="U166" s="105">
        <f t="shared" si="8"/>
        <v>4.02048</v>
      </c>
    </row>
    <row r="167" spans="1:21">
      <c r="A167" s="213">
        <v>164</v>
      </c>
      <c r="B167" s="213" t="s">
        <v>22</v>
      </c>
      <c r="C167" s="214" t="s">
        <v>241</v>
      </c>
      <c r="D167" s="214" t="s">
        <v>244</v>
      </c>
      <c r="E167" s="213">
        <v>5363</v>
      </c>
      <c r="F167" s="214">
        <v>7880</v>
      </c>
      <c r="G167" s="219">
        <v>215</v>
      </c>
      <c r="H167" s="216">
        <v>187.1687</v>
      </c>
      <c r="I167" s="214">
        <v>275</v>
      </c>
      <c r="J167" s="214">
        <v>2</v>
      </c>
      <c r="K167" s="214">
        <v>2</v>
      </c>
      <c r="L167" s="213"/>
      <c r="M167" s="213"/>
      <c r="N167" s="213"/>
      <c r="O167" s="213"/>
      <c r="P167" s="218">
        <v>139</v>
      </c>
      <c r="Q167" s="215">
        <v>19</v>
      </c>
      <c r="R167" s="215" t="s">
        <v>25</v>
      </c>
      <c r="S167" s="215" t="s">
        <v>26</v>
      </c>
      <c r="T167" s="105">
        <f t="shared" si="7"/>
        <v>3.11947833333333</v>
      </c>
      <c r="U167" s="105">
        <f t="shared" si="8"/>
        <v>3.11947833333333</v>
      </c>
    </row>
    <row r="168" spans="1:21">
      <c r="A168" s="213">
        <v>165</v>
      </c>
      <c r="B168" s="213" t="s">
        <v>22</v>
      </c>
      <c r="C168" s="214" t="s">
        <v>241</v>
      </c>
      <c r="D168" s="214" t="s">
        <v>245</v>
      </c>
      <c r="E168" s="213">
        <v>4702</v>
      </c>
      <c r="F168" s="214">
        <v>6246</v>
      </c>
      <c r="G168" s="219">
        <v>188</v>
      </c>
      <c r="H168" s="216">
        <v>164.0998</v>
      </c>
      <c r="I168" s="214">
        <v>218</v>
      </c>
      <c r="J168" s="214">
        <v>4</v>
      </c>
      <c r="K168" s="214">
        <v>2</v>
      </c>
      <c r="L168" s="213"/>
      <c r="M168" s="213"/>
      <c r="N168" s="213"/>
      <c r="O168" s="213"/>
      <c r="P168" s="218">
        <v>88</v>
      </c>
      <c r="Q168" s="215">
        <v>12</v>
      </c>
      <c r="R168" s="215" t="s">
        <v>25</v>
      </c>
      <c r="S168" s="215" t="s">
        <v>26</v>
      </c>
      <c r="T168" s="105">
        <f t="shared" si="7"/>
        <v>2.73499666666667</v>
      </c>
      <c r="U168" s="105">
        <f t="shared" si="8"/>
        <v>2.73499666666667</v>
      </c>
    </row>
    <row r="169" spans="1:21">
      <c r="A169" s="213">
        <v>166</v>
      </c>
      <c r="B169" s="213" t="s">
        <v>22</v>
      </c>
      <c r="C169" s="214" t="s">
        <v>241</v>
      </c>
      <c r="D169" s="214" t="s">
        <v>246</v>
      </c>
      <c r="E169" s="213">
        <v>13342</v>
      </c>
      <c r="F169" s="214">
        <v>14384</v>
      </c>
      <c r="G169" s="219">
        <v>534</v>
      </c>
      <c r="H169" s="216">
        <v>465.6358</v>
      </c>
      <c r="I169" s="214">
        <v>502</v>
      </c>
      <c r="J169" s="214">
        <v>2</v>
      </c>
      <c r="K169" s="214">
        <v>2</v>
      </c>
      <c r="L169" s="213"/>
      <c r="M169" s="213"/>
      <c r="N169" s="213"/>
      <c r="O169" s="213"/>
      <c r="P169" s="218">
        <v>0</v>
      </c>
      <c r="Q169" s="215">
        <v>14</v>
      </c>
      <c r="R169" s="215" t="s">
        <v>25</v>
      </c>
      <c r="S169" s="215" t="s">
        <v>26</v>
      </c>
      <c r="T169" s="105">
        <f t="shared" si="7"/>
        <v>7.76059666666667</v>
      </c>
      <c r="U169" s="105">
        <f t="shared" si="8"/>
        <v>7.76059666666667</v>
      </c>
    </row>
    <row r="170" spans="1:21">
      <c r="A170" s="213">
        <v>167</v>
      </c>
      <c r="B170" s="213" t="s">
        <v>22</v>
      </c>
      <c r="C170" s="214" t="s">
        <v>241</v>
      </c>
      <c r="D170" s="214" t="s">
        <v>247</v>
      </c>
      <c r="E170" s="213">
        <v>10590</v>
      </c>
      <c r="F170" s="214">
        <v>15903</v>
      </c>
      <c r="G170" s="219">
        <v>424</v>
      </c>
      <c r="H170" s="216">
        <v>369.591</v>
      </c>
      <c r="I170" s="214">
        <v>555</v>
      </c>
      <c r="J170" s="214">
        <v>3</v>
      </c>
      <c r="K170" s="214">
        <v>2</v>
      </c>
      <c r="L170" s="213"/>
      <c r="M170" s="213"/>
      <c r="N170" s="213"/>
      <c r="O170" s="213"/>
      <c r="P170" s="218">
        <v>12</v>
      </c>
      <c r="Q170" s="215">
        <v>25</v>
      </c>
      <c r="R170" s="215" t="s">
        <v>25</v>
      </c>
      <c r="S170" s="215" t="s">
        <v>26</v>
      </c>
      <c r="T170" s="105">
        <f t="shared" si="7"/>
        <v>6.15985</v>
      </c>
      <c r="U170" s="105">
        <f t="shared" si="8"/>
        <v>6.15985</v>
      </c>
    </row>
    <row r="171" spans="1:21">
      <c r="A171" s="213">
        <v>168</v>
      </c>
      <c r="B171" s="213" t="s">
        <v>22</v>
      </c>
      <c r="C171" s="214" t="s">
        <v>241</v>
      </c>
      <c r="D171" s="214" t="s">
        <v>248</v>
      </c>
      <c r="E171" s="213">
        <v>7157</v>
      </c>
      <c r="F171" s="214">
        <v>7163</v>
      </c>
      <c r="G171" s="219">
        <v>286</v>
      </c>
      <c r="H171" s="216">
        <v>249.7793</v>
      </c>
      <c r="I171" s="214">
        <v>250</v>
      </c>
      <c r="J171" s="214">
        <v>2</v>
      </c>
      <c r="K171" s="214"/>
      <c r="L171" s="213"/>
      <c r="M171" s="213"/>
      <c r="N171" s="213"/>
      <c r="O171" s="213"/>
      <c r="P171" s="218">
        <v>25</v>
      </c>
      <c r="Q171" s="215" t="s">
        <v>36</v>
      </c>
      <c r="R171" s="215" t="s">
        <v>36</v>
      </c>
      <c r="S171" s="215" t="s">
        <v>36</v>
      </c>
      <c r="T171" s="105">
        <f t="shared" si="7"/>
        <v>4.16298833333333</v>
      </c>
      <c r="U171" s="105">
        <f t="shared" si="8"/>
        <v>4.16298833333333</v>
      </c>
    </row>
    <row r="172" spans="1:21">
      <c r="A172" s="213">
        <v>169</v>
      </c>
      <c r="B172" s="213" t="s">
        <v>22</v>
      </c>
      <c r="C172" s="214" t="s">
        <v>241</v>
      </c>
      <c r="D172" s="214" t="s">
        <v>249</v>
      </c>
      <c r="E172" s="213">
        <v>12231</v>
      </c>
      <c r="F172" s="214">
        <v>19513</v>
      </c>
      <c r="G172" s="219">
        <v>489</v>
      </c>
      <c r="H172" s="216">
        <v>426.8619</v>
      </c>
      <c r="I172" s="214">
        <v>681</v>
      </c>
      <c r="J172" s="214">
        <v>3</v>
      </c>
      <c r="K172" s="214">
        <v>2</v>
      </c>
      <c r="L172" s="213"/>
      <c r="M172" s="213"/>
      <c r="N172" s="213"/>
      <c r="O172" s="213"/>
      <c r="P172" s="218">
        <v>21</v>
      </c>
      <c r="Q172" s="215">
        <v>32</v>
      </c>
      <c r="R172" s="215" t="s">
        <v>25</v>
      </c>
      <c r="S172" s="215" t="s">
        <v>26</v>
      </c>
      <c r="T172" s="105">
        <f t="shared" si="7"/>
        <v>7.114365</v>
      </c>
      <c r="U172" s="105">
        <f t="shared" si="8"/>
        <v>7.114365</v>
      </c>
    </row>
    <row r="173" spans="1:21">
      <c r="A173" s="213">
        <v>170</v>
      </c>
      <c r="B173" s="213" t="s">
        <v>22</v>
      </c>
      <c r="C173" s="214" t="s">
        <v>241</v>
      </c>
      <c r="D173" s="214" t="s">
        <v>250</v>
      </c>
      <c r="E173" s="213">
        <v>12320</v>
      </c>
      <c r="F173" s="214">
        <v>21089</v>
      </c>
      <c r="G173" s="219">
        <v>493</v>
      </c>
      <c r="H173" s="216">
        <v>429.968</v>
      </c>
      <c r="I173" s="214">
        <v>736</v>
      </c>
      <c r="J173" s="214">
        <v>3</v>
      </c>
      <c r="K173" s="214">
        <v>2</v>
      </c>
      <c r="L173" s="213"/>
      <c r="M173" s="213"/>
      <c r="N173" s="213"/>
      <c r="O173" s="213"/>
      <c r="P173" s="218">
        <v>121</v>
      </c>
      <c r="Q173" s="215">
        <v>12</v>
      </c>
      <c r="R173" s="215" t="s">
        <v>25</v>
      </c>
      <c r="S173" s="215" t="s">
        <v>26</v>
      </c>
      <c r="T173" s="105">
        <f t="shared" si="7"/>
        <v>7.16613333333333</v>
      </c>
      <c r="U173" s="105">
        <f t="shared" si="8"/>
        <v>7.16613333333333</v>
      </c>
    </row>
    <row r="174" spans="1:21">
      <c r="A174" s="213">
        <v>171</v>
      </c>
      <c r="B174" s="213" t="s">
        <v>22</v>
      </c>
      <c r="C174" s="214" t="s">
        <v>241</v>
      </c>
      <c r="D174" s="214" t="s">
        <v>251</v>
      </c>
      <c r="E174" s="213">
        <v>6316</v>
      </c>
      <c r="F174" s="214">
        <v>6304</v>
      </c>
      <c r="G174" s="219">
        <v>253</v>
      </c>
      <c r="H174" s="216">
        <v>220.4284</v>
      </c>
      <c r="I174" s="214">
        <v>220</v>
      </c>
      <c r="J174" s="214">
        <v>2</v>
      </c>
      <c r="K174" s="214"/>
      <c r="L174" s="213"/>
      <c r="M174" s="213"/>
      <c r="N174" s="213"/>
      <c r="O174" s="213"/>
      <c r="P174" s="218">
        <v>13</v>
      </c>
      <c r="Q174" s="215" t="s">
        <v>36</v>
      </c>
      <c r="R174" s="215" t="s">
        <v>36</v>
      </c>
      <c r="S174" s="215" t="s">
        <v>36</v>
      </c>
      <c r="T174" s="105">
        <f t="shared" si="7"/>
        <v>3.67380666666667</v>
      </c>
      <c r="U174" s="105">
        <f t="shared" si="8"/>
        <v>3.67380666666667</v>
      </c>
    </row>
    <row r="175" spans="1:21">
      <c r="A175" s="213">
        <v>172</v>
      </c>
      <c r="B175" s="213" t="s">
        <v>22</v>
      </c>
      <c r="C175" s="214" t="s">
        <v>241</v>
      </c>
      <c r="D175" s="214" t="s">
        <v>252</v>
      </c>
      <c r="E175" s="213">
        <v>9336</v>
      </c>
      <c r="F175" s="214">
        <v>14384</v>
      </c>
      <c r="G175" s="219">
        <v>373</v>
      </c>
      <c r="H175" s="216">
        <v>325.8264</v>
      </c>
      <c r="I175" s="214">
        <v>502</v>
      </c>
      <c r="J175" s="214">
        <v>3</v>
      </c>
      <c r="K175" s="214">
        <v>2</v>
      </c>
      <c r="L175" s="213"/>
      <c r="M175" s="213"/>
      <c r="N175" s="213"/>
      <c r="O175" s="213"/>
      <c r="P175" s="218">
        <v>76</v>
      </c>
      <c r="Q175" s="215">
        <v>13</v>
      </c>
      <c r="R175" s="215" t="s">
        <v>25</v>
      </c>
      <c r="S175" s="215" t="s">
        <v>26</v>
      </c>
      <c r="T175" s="105">
        <f t="shared" si="7"/>
        <v>5.43044</v>
      </c>
      <c r="U175" s="105">
        <f t="shared" si="8"/>
        <v>5.43044</v>
      </c>
    </row>
    <row r="176" spans="1:21">
      <c r="A176" s="213">
        <v>173</v>
      </c>
      <c r="B176" s="213" t="s">
        <v>22</v>
      </c>
      <c r="C176" s="214" t="s">
        <v>241</v>
      </c>
      <c r="D176" s="214" t="s">
        <v>253</v>
      </c>
      <c r="E176" s="213">
        <v>6334</v>
      </c>
      <c r="F176" s="214">
        <v>14384</v>
      </c>
      <c r="G176" s="219">
        <v>253</v>
      </c>
      <c r="H176" s="216">
        <v>221.0566</v>
      </c>
      <c r="I176" s="214">
        <v>502</v>
      </c>
      <c r="J176" s="214">
        <v>3</v>
      </c>
      <c r="K176" s="214">
        <v>2</v>
      </c>
      <c r="L176" s="213"/>
      <c r="M176" s="213"/>
      <c r="N176" s="213"/>
      <c r="O176" s="213"/>
      <c r="P176" s="218">
        <v>101</v>
      </c>
      <c r="Q176" s="215">
        <v>12</v>
      </c>
      <c r="R176" s="215" t="s">
        <v>25</v>
      </c>
      <c r="S176" s="215" t="s">
        <v>26</v>
      </c>
      <c r="T176" s="105">
        <f t="shared" si="7"/>
        <v>3.68427666666667</v>
      </c>
      <c r="U176" s="105">
        <f t="shared" si="8"/>
        <v>3.68427666666667</v>
      </c>
    </row>
    <row r="177" spans="1:21">
      <c r="A177" s="213">
        <v>174</v>
      </c>
      <c r="B177" s="213" t="s">
        <v>22</v>
      </c>
      <c r="C177" s="214" t="s">
        <v>241</v>
      </c>
      <c r="D177" s="214" t="s">
        <v>254</v>
      </c>
      <c r="E177" s="213">
        <v>5798</v>
      </c>
      <c r="F177" s="214">
        <v>9713</v>
      </c>
      <c r="G177" s="219">
        <v>232</v>
      </c>
      <c r="H177" s="216">
        <v>202.3502</v>
      </c>
      <c r="I177" s="214">
        <v>339</v>
      </c>
      <c r="J177" s="214">
        <v>3</v>
      </c>
      <c r="K177" s="214">
        <v>2</v>
      </c>
      <c r="L177" s="213"/>
      <c r="M177" s="213"/>
      <c r="N177" s="213"/>
      <c r="O177" s="213"/>
      <c r="P177" s="218">
        <v>16</v>
      </c>
      <c r="Q177" s="215">
        <v>6</v>
      </c>
      <c r="R177" s="215" t="s">
        <v>25</v>
      </c>
      <c r="S177" s="215" t="s">
        <v>26</v>
      </c>
      <c r="T177" s="105">
        <f t="shared" si="7"/>
        <v>3.37250333333333</v>
      </c>
      <c r="U177" s="105">
        <f t="shared" si="8"/>
        <v>3.37250333333333</v>
      </c>
    </row>
    <row r="178" spans="1:21">
      <c r="A178" s="213">
        <v>175</v>
      </c>
      <c r="B178" s="213" t="s">
        <v>22</v>
      </c>
      <c r="C178" s="214" t="s">
        <v>241</v>
      </c>
      <c r="D178" s="214" t="s">
        <v>255</v>
      </c>
      <c r="E178" s="213">
        <v>12680</v>
      </c>
      <c r="F178" s="214">
        <v>21805</v>
      </c>
      <c r="G178" s="219">
        <v>507</v>
      </c>
      <c r="H178" s="216">
        <v>442.532</v>
      </c>
      <c r="I178" s="214">
        <v>761</v>
      </c>
      <c r="J178" s="214">
        <v>2</v>
      </c>
      <c r="K178" s="214">
        <v>2</v>
      </c>
      <c r="L178" s="213"/>
      <c r="M178" s="213"/>
      <c r="N178" s="213"/>
      <c r="O178" s="213"/>
      <c r="P178" s="218">
        <v>38</v>
      </c>
      <c r="Q178" s="215">
        <v>12</v>
      </c>
      <c r="R178" s="215" t="s">
        <v>25</v>
      </c>
      <c r="S178" s="215" t="s">
        <v>26</v>
      </c>
      <c r="T178" s="105">
        <f t="shared" si="7"/>
        <v>7.37553333333333</v>
      </c>
      <c r="U178" s="105">
        <f t="shared" si="8"/>
        <v>7.37553333333333</v>
      </c>
    </row>
    <row r="179" spans="1:21">
      <c r="A179" s="213">
        <v>176</v>
      </c>
      <c r="B179" s="213" t="s">
        <v>22</v>
      </c>
      <c r="C179" s="214" t="s">
        <v>241</v>
      </c>
      <c r="D179" s="214" t="s">
        <v>256</v>
      </c>
      <c r="E179" s="213">
        <v>13028</v>
      </c>
      <c r="F179" s="214">
        <v>22378</v>
      </c>
      <c r="G179" s="219">
        <v>521</v>
      </c>
      <c r="H179" s="216">
        <v>454.6772</v>
      </c>
      <c r="I179" s="214">
        <v>781</v>
      </c>
      <c r="J179" s="214">
        <v>3</v>
      </c>
      <c r="K179" s="214">
        <v>2</v>
      </c>
      <c r="L179" s="213"/>
      <c r="M179" s="213"/>
      <c r="N179" s="213"/>
      <c r="O179" s="213"/>
      <c r="P179" s="218">
        <v>54</v>
      </c>
      <c r="Q179" s="215">
        <v>13</v>
      </c>
      <c r="R179" s="215" t="s">
        <v>25</v>
      </c>
      <c r="S179" s="215" t="s">
        <v>26</v>
      </c>
      <c r="T179" s="105">
        <f t="shared" si="7"/>
        <v>7.57795333333333</v>
      </c>
      <c r="U179" s="105">
        <f t="shared" si="8"/>
        <v>7.57795333333333</v>
      </c>
    </row>
    <row r="180" spans="1:21">
      <c r="A180" s="213">
        <v>177</v>
      </c>
      <c r="B180" s="213" t="s">
        <v>22</v>
      </c>
      <c r="C180" s="214" t="s">
        <v>241</v>
      </c>
      <c r="D180" s="214" t="s">
        <v>257</v>
      </c>
      <c r="E180" s="213">
        <v>11333</v>
      </c>
      <c r="F180" s="214">
        <v>15616</v>
      </c>
      <c r="G180" s="219">
        <v>453</v>
      </c>
      <c r="H180" s="216">
        <v>395.5217</v>
      </c>
      <c r="I180" s="214">
        <v>545</v>
      </c>
      <c r="J180" s="214">
        <v>2</v>
      </c>
      <c r="K180" s="214">
        <v>2</v>
      </c>
      <c r="L180" s="213"/>
      <c r="M180" s="213"/>
      <c r="N180" s="213"/>
      <c r="O180" s="213"/>
      <c r="P180" s="218">
        <v>158</v>
      </c>
      <c r="Q180" s="215">
        <v>13</v>
      </c>
      <c r="R180" s="215" t="s">
        <v>25</v>
      </c>
      <c r="S180" s="215" t="s">
        <v>26</v>
      </c>
      <c r="T180" s="105">
        <f t="shared" si="7"/>
        <v>6.59202833333333</v>
      </c>
      <c r="U180" s="105">
        <f t="shared" si="8"/>
        <v>6.59202833333333</v>
      </c>
    </row>
    <row r="181" spans="1:21">
      <c r="A181" s="213">
        <v>178</v>
      </c>
      <c r="B181" s="213" t="s">
        <v>22</v>
      </c>
      <c r="C181" s="214" t="s">
        <v>241</v>
      </c>
      <c r="D181" s="214" t="s">
        <v>258</v>
      </c>
      <c r="E181" s="213">
        <v>13158</v>
      </c>
      <c r="F181" s="214">
        <v>20974</v>
      </c>
      <c r="G181" s="219">
        <v>526</v>
      </c>
      <c r="H181" s="216">
        <v>459.2142</v>
      </c>
      <c r="I181" s="214">
        <v>732</v>
      </c>
      <c r="J181" s="214">
        <v>2</v>
      </c>
      <c r="K181" s="214">
        <v>2</v>
      </c>
      <c r="L181" s="213"/>
      <c r="M181" s="213"/>
      <c r="N181" s="213"/>
      <c r="O181" s="213"/>
      <c r="P181" s="218">
        <v>76</v>
      </c>
      <c r="Q181" s="215">
        <v>9</v>
      </c>
      <c r="R181" s="215" t="s">
        <v>25</v>
      </c>
      <c r="S181" s="215" t="s">
        <v>26</v>
      </c>
      <c r="T181" s="105">
        <f t="shared" si="7"/>
        <v>7.65357</v>
      </c>
      <c r="U181" s="105">
        <f t="shared" si="8"/>
        <v>7.65357</v>
      </c>
    </row>
    <row r="182" spans="1:21">
      <c r="A182" s="213">
        <v>179</v>
      </c>
      <c r="B182" s="213" t="s">
        <v>22</v>
      </c>
      <c r="C182" s="214" t="s">
        <v>241</v>
      </c>
      <c r="D182" s="214" t="s">
        <v>259</v>
      </c>
      <c r="E182" s="213">
        <v>6811</v>
      </c>
      <c r="F182" s="214">
        <v>11719</v>
      </c>
      <c r="G182" s="219">
        <v>272</v>
      </c>
      <c r="H182" s="216">
        <v>237.7039</v>
      </c>
      <c r="I182" s="214">
        <v>409</v>
      </c>
      <c r="J182" s="214">
        <v>3</v>
      </c>
      <c r="K182" s="214">
        <v>2</v>
      </c>
      <c r="L182" s="213"/>
      <c r="M182" s="213"/>
      <c r="N182" s="213"/>
      <c r="O182" s="213"/>
      <c r="P182" s="218">
        <v>35</v>
      </c>
      <c r="Q182" s="215">
        <v>10</v>
      </c>
      <c r="R182" s="215" t="s">
        <v>25</v>
      </c>
      <c r="S182" s="215" t="s">
        <v>26</v>
      </c>
      <c r="T182" s="105">
        <f t="shared" si="7"/>
        <v>3.96173166666667</v>
      </c>
      <c r="U182" s="105">
        <f t="shared" si="8"/>
        <v>3.96173166666667</v>
      </c>
    </row>
    <row r="183" spans="1:21">
      <c r="A183" s="213">
        <v>180</v>
      </c>
      <c r="B183" s="213" t="s">
        <v>22</v>
      </c>
      <c r="C183" s="214" t="s">
        <v>241</v>
      </c>
      <c r="D183" s="214" t="s">
        <v>260</v>
      </c>
      <c r="E183" s="213">
        <v>14357</v>
      </c>
      <c r="F183" s="214">
        <v>25501</v>
      </c>
      <c r="G183" s="219">
        <v>323</v>
      </c>
      <c r="H183" s="216">
        <v>501.0593</v>
      </c>
      <c r="I183" s="214">
        <v>890</v>
      </c>
      <c r="J183" s="214">
        <v>3</v>
      </c>
      <c r="K183" s="214">
        <v>2</v>
      </c>
      <c r="L183" s="213"/>
      <c r="M183" s="213"/>
      <c r="N183" s="213"/>
      <c r="O183" s="213"/>
      <c r="P183" s="218">
        <v>27</v>
      </c>
      <c r="Q183" s="215" t="s">
        <v>36</v>
      </c>
      <c r="R183" s="215" t="s">
        <v>36</v>
      </c>
      <c r="S183" s="215" t="s">
        <v>36</v>
      </c>
      <c r="T183" s="105">
        <f t="shared" si="7"/>
        <v>8.35098833333333</v>
      </c>
      <c r="U183" s="105">
        <f t="shared" si="8"/>
        <v>8.35098833333333</v>
      </c>
    </row>
    <row r="184" hidden="1" spans="1:21">
      <c r="A184" s="213"/>
      <c r="B184" s="213"/>
      <c r="C184" s="213"/>
      <c r="D184" s="214"/>
      <c r="E184" s="213"/>
      <c r="F184" s="213"/>
      <c r="G184" s="221"/>
      <c r="H184" s="216"/>
      <c r="I184" s="213"/>
      <c r="J184" s="213"/>
      <c r="K184" s="213"/>
      <c r="L184" s="213"/>
      <c r="M184" s="213"/>
      <c r="N184" s="213"/>
      <c r="O184" s="213"/>
      <c r="P184" s="213"/>
      <c r="Q184" s="213"/>
      <c r="R184" s="213"/>
      <c r="S184" s="213"/>
    </row>
    <row r="185" spans="1:21">
      <c r="A185" s="213">
        <v>182</v>
      </c>
      <c r="B185" s="213" t="s">
        <v>22</v>
      </c>
      <c r="C185" s="214" t="s">
        <v>261</v>
      </c>
      <c r="D185" s="214" t="s">
        <v>262</v>
      </c>
      <c r="E185" s="213">
        <v>14010</v>
      </c>
      <c r="F185" s="214">
        <v>14241</v>
      </c>
      <c r="G185" s="219">
        <v>531</v>
      </c>
      <c r="H185" s="216">
        <v>488.949</v>
      </c>
      <c r="I185" s="214">
        <v>497</v>
      </c>
      <c r="J185" s="214">
        <v>3</v>
      </c>
      <c r="K185" s="214">
        <v>2</v>
      </c>
      <c r="L185" s="213"/>
      <c r="M185" s="213"/>
      <c r="N185" s="213"/>
      <c r="O185" s="213"/>
      <c r="P185" s="217">
        <v>25</v>
      </c>
      <c r="Q185" s="215">
        <v>5</v>
      </c>
      <c r="R185" s="215" t="s">
        <v>25</v>
      </c>
      <c r="S185" s="215" t="s">
        <v>26</v>
      </c>
      <c r="T185" s="105">
        <f t="shared" ref="T185:T200" si="9">H185*5/25/12</f>
        <v>8.14915</v>
      </c>
      <c r="U185" s="105">
        <f t="shared" ref="U185:U200" si="10">T185-L185-M185-N185-O185</f>
        <v>8.14915</v>
      </c>
    </row>
    <row r="186" spans="1:21">
      <c r="A186" s="213">
        <v>183</v>
      </c>
      <c r="B186" s="213" t="s">
        <v>22</v>
      </c>
      <c r="C186" s="214" t="s">
        <v>261</v>
      </c>
      <c r="D186" s="214" t="s">
        <v>263</v>
      </c>
      <c r="E186" s="213">
        <v>13050</v>
      </c>
      <c r="F186" s="214">
        <v>13095</v>
      </c>
      <c r="G186" s="219">
        <v>495</v>
      </c>
      <c r="H186" s="216">
        <v>455.445</v>
      </c>
      <c r="I186" s="214">
        <v>457</v>
      </c>
      <c r="J186" s="214">
        <v>3</v>
      </c>
      <c r="K186" s="214">
        <v>2</v>
      </c>
      <c r="L186" s="213"/>
      <c r="M186" s="213"/>
      <c r="N186" s="213"/>
      <c r="O186" s="213"/>
      <c r="P186" s="217">
        <v>86</v>
      </c>
      <c r="Q186" s="215">
        <v>9</v>
      </c>
      <c r="R186" s="215" t="s">
        <v>25</v>
      </c>
      <c r="S186" s="215" t="s">
        <v>26</v>
      </c>
      <c r="T186" s="105">
        <f t="shared" si="9"/>
        <v>7.59075</v>
      </c>
      <c r="U186" s="105">
        <f t="shared" si="10"/>
        <v>7.59075</v>
      </c>
    </row>
    <row r="187" spans="1:21">
      <c r="A187" s="213">
        <v>184</v>
      </c>
      <c r="B187" s="213" t="s">
        <v>22</v>
      </c>
      <c r="C187" s="214" t="s">
        <v>261</v>
      </c>
      <c r="D187" s="214" t="s">
        <v>264</v>
      </c>
      <c r="E187" s="213">
        <v>13122</v>
      </c>
      <c r="F187" s="214">
        <v>14928</v>
      </c>
      <c r="G187" s="219">
        <v>498</v>
      </c>
      <c r="H187" s="216">
        <v>457.9578</v>
      </c>
      <c r="I187" s="214">
        <v>521</v>
      </c>
      <c r="J187" s="214">
        <v>4</v>
      </c>
      <c r="K187" s="214">
        <v>2</v>
      </c>
      <c r="L187" s="213"/>
      <c r="M187" s="213"/>
      <c r="N187" s="213"/>
      <c r="O187" s="213"/>
      <c r="P187" s="217">
        <v>75</v>
      </c>
      <c r="Q187" s="215">
        <v>5</v>
      </c>
      <c r="R187" s="215" t="s">
        <v>25</v>
      </c>
      <c r="S187" s="215" t="s">
        <v>26</v>
      </c>
      <c r="T187" s="105">
        <f t="shared" si="9"/>
        <v>7.63263</v>
      </c>
      <c r="U187" s="105">
        <f t="shared" si="10"/>
        <v>7.63263</v>
      </c>
    </row>
    <row r="188" spans="1:21">
      <c r="A188" s="213">
        <v>185</v>
      </c>
      <c r="B188" s="213" t="s">
        <v>22</v>
      </c>
      <c r="C188" s="214" t="s">
        <v>261</v>
      </c>
      <c r="D188" s="214" t="s">
        <v>265</v>
      </c>
      <c r="E188" s="213">
        <v>14077</v>
      </c>
      <c r="F188" s="214">
        <v>14069</v>
      </c>
      <c r="G188" s="219">
        <v>534</v>
      </c>
      <c r="H188" s="216">
        <v>491.2873</v>
      </c>
      <c r="I188" s="214">
        <v>491</v>
      </c>
      <c r="J188" s="214">
        <v>2</v>
      </c>
      <c r="K188" s="214">
        <v>2</v>
      </c>
      <c r="L188" s="213"/>
      <c r="M188" s="213"/>
      <c r="N188" s="213"/>
      <c r="O188" s="213"/>
      <c r="P188" s="217">
        <v>69</v>
      </c>
      <c r="Q188" s="215">
        <v>7</v>
      </c>
      <c r="R188" s="215" t="s">
        <v>25</v>
      </c>
      <c r="S188" s="215" t="s">
        <v>26</v>
      </c>
      <c r="T188" s="105">
        <f t="shared" si="9"/>
        <v>8.18812166666667</v>
      </c>
      <c r="U188" s="105">
        <f t="shared" si="10"/>
        <v>8.18812166666667</v>
      </c>
    </row>
    <row r="189" spans="1:21">
      <c r="A189" s="213">
        <v>186</v>
      </c>
      <c r="B189" s="213" t="s">
        <v>22</v>
      </c>
      <c r="C189" s="214" t="s">
        <v>261</v>
      </c>
      <c r="D189" s="214" t="s">
        <v>266</v>
      </c>
      <c r="E189" s="213">
        <v>11296</v>
      </c>
      <c r="F189" s="214">
        <v>15387</v>
      </c>
      <c r="G189" s="219">
        <v>428</v>
      </c>
      <c r="H189" s="216">
        <v>394.2304</v>
      </c>
      <c r="I189" s="214">
        <v>537</v>
      </c>
      <c r="J189" s="214">
        <v>7</v>
      </c>
      <c r="K189" s="214">
        <v>2</v>
      </c>
      <c r="L189" s="213"/>
      <c r="M189" s="213"/>
      <c r="N189" s="213"/>
      <c r="O189" s="213"/>
      <c r="P189" s="217">
        <v>92</v>
      </c>
      <c r="Q189" s="215" t="s">
        <v>36</v>
      </c>
      <c r="R189" s="215" t="s">
        <v>25</v>
      </c>
      <c r="S189" s="215" t="s">
        <v>26</v>
      </c>
      <c r="T189" s="105">
        <f t="shared" si="9"/>
        <v>6.57050666666667</v>
      </c>
      <c r="U189" s="105">
        <f t="shared" si="10"/>
        <v>6.57050666666667</v>
      </c>
    </row>
    <row r="190" spans="1:21">
      <c r="A190" s="213">
        <v>187</v>
      </c>
      <c r="B190" s="213" t="s">
        <v>22</v>
      </c>
      <c r="C190" s="214" t="s">
        <v>261</v>
      </c>
      <c r="D190" s="214" t="s">
        <v>267</v>
      </c>
      <c r="E190" s="213">
        <v>10529</v>
      </c>
      <c r="F190" s="214">
        <v>16819</v>
      </c>
      <c r="G190" s="219">
        <v>400</v>
      </c>
      <c r="H190" s="216">
        <v>367.4621</v>
      </c>
      <c r="I190" s="214">
        <v>587</v>
      </c>
      <c r="J190" s="214">
        <v>3</v>
      </c>
      <c r="K190" s="214">
        <v>2</v>
      </c>
      <c r="L190" s="213"/>
      <c r="M190" s="213"/>
      <c r="N190" s="213"/>
      <c r="O190" s="213"/>
      <c r="P190" s="217">
        <v>48</v>
      </c>
      <c r="Q190" s="215">
        <v>2</v>
      </c>
      <c r="R190" s="215" t="s">
        <v>25</v>
      </c>
      <c r="S190" s="215" t="s">
        <v>26</v>
      </c>
      <c r="T190" s="105">
        <f t="shared" si="9"/>
        <v>6.12436833333333</v>
      </c>
      <c r="U190" s="105">
        <f t="shared" si="10"/>
        <v>6.12436833333333</v>
      </c>
    </row>
    <row r="191" spans="1:21">
      <c r="A191" s="213">
        <v>188</v>
      </c>
      <c r="B191" s="213" t="s">
        <v>22</v>
      </c>
      <c r="C191" s="214" t="s">
        <v>261</v>
      </c>
      <c r="D191" s="214" t="s">
        <v>268</v>
      </c>
      <c r="E191" s="213">
        <v>10059</v>
      </c>
      <c r="F191" s="214">
        <v>10057</v>
      </c>
      <c r="G191" s="219">
        <v>381</v>
      </c>
      <c r="H191" s="216">
        <v>351.0591</v>
      </c>
      <c r="I191" s="214">
        <v>351</v>
      </c>
      <c r="J191" s="214">
        <v>2</v>
      </c>
      <c r="K191" s="214">
        <v>2</v>
      </c>
      <c r="L191" s="213"/>
      <c r="M191" s="213"/>
      <c r="N191" s="213"/>
      <c r="O191" s="213"/>
      <c r="P191" s="217">
        <v>15</v>
      </c>
      <c r="Q191" s="215">
        <v>7</v>
      </c>
      <c r="R191" s="215" t="s">
        <v>25</v>
      </c>
      <c r="S191" s="215" t="s">
        <v>26</v>
      </c>
      <c r="T191" s="105">
        <f t="shared" si="9"/>
        <v>5.850985</v>
      </c>
      <c r="U191" s="105">
        <f t="shared" si="10"/>
        <v>5.850985</v>
      </c>
    </row>
    <row r="192" spans="1:21">
      <c r="A192" s="213">
        <v>189</v>
      </c>
      <c r="B192" s="213" t="s">
        <v>22</v>
      </c>
      <c r="C192" s="214" t="s">
        <v>261</v>
      </c>
      <c r="D192" s="214" t="s">
        <v>269</v>
      </c>
      <c r="E192" s="213">
        <v>12127</v>
      </c>
      <c r="F192" s="214">
        <v>13324</v>
      </c>
      <c r="G192" s="219">
        <v>460</v>
      </c>
      <c r="H192" s="216">
        <v>423.2323</v>
      </c>
      <c r="I192" s="214">
        <v>465</v>
      </c>
      <c r="J192" s="214">
        <v>2</v>
      </c>
      <c r="K192" s="214">
        <v>2</v>
      </c>
      <c r="L192" s="213"/>
      <c r="M192" s="213"/>
      <c r="N192" s="213"/>
      <c r="O192" s="213"/>
      <c r="P192" s="217">
        <v>38</v>
      </c>
      <c r="Q192" s="215">
        <v>5</v>
      </c>
      <c r="R192" s="215" t="s">
        <v>25</v>
      </c>
      <c r="S192" s="215" t="s">
        <v>26</v>
      </c>
      <c r="T192" s="105">
        <f t="shared" si="9"/>
        <v>7.05387166666667</v>
      </c>
      <c r="U192" s="105">
        <f t="shared" si="10"/>
        <v>7.05387166666667</v>
      </c>
    </row>
    <row r="193" spans="1:21">
      <c r="A193" s="213">
        <v>190</v>
      </c>
      <c r="B193" s="213" t="s">
        <v>22</v>
      </c>
      <c r="C193" s="214" t="s">
        <v>261</v>
      </c>
      <c r="D193" s="214" t="s">
        <v>270</v>
      </c>
      <c r="E193" s="213">
        <v>8914</v>
      </c>
      <c r="F193" s="214">
        <v>8911</v>
      </c>
      <c r="G193" s="219">
        <v>633</v>
      </c>
      <c r="H193" s="216">
        <v>311.0986</v>
      </c>
      <c r="I193" s="214">
        <v>311</v>
      </c>
      <c r="J193" s="214">
        <v>2</v>
      </c>
      <c r="K193" s="214"/>
      <c r="L193" s="213"/>
      <c r="M193" s="213"/>
      <c r="N193" s="213"/>
      <c r="O193" s="213"/>
      <c r="P193" s="217" t="s">
        <v>36</v>
      </c>
      <c r="Q193" s="215" t="s">
        <v>36</v>
      </c>
      <c r="R193" s="215" t="s">
        <v>36</v>
      </c>
      <c r="S193" s="215" t="s">
        <v>36</v>
      </c>
      <c r="T193" s="105">
        <f t="shared" si="9"/>
        <v>5.18497666666667</v>
      </c>
      <c r="U193" s="105">
        <f t="shared" si="10"/>
        <v>5.18497666666667</v>
      </c>
    </row>
    <row r="194" spans="1:21">
      <c r="A194" s="213">
        <v>191</v>
      </c>
      <c r="B194" s="213" t="s">
        <v>22</v>
      </c>
      <c r="C194" s="214" t="s">
        <v>261</v>
      </c>
      <c r="D194" s="214" t="s">
        <v>271</v>
      </c>
      <c r="E194" s="213">
        <v>16702</v>
      </c>
      <c r="F194" s="214">
        <v>24585</v>
      </c>
      <c r="G194" s="219">
        <v>338</v>
      </c>
      <c r="H194" s="216">
        <v>582.8998</v>
      </c>
      <c r="I194" s="214">
        <v>858</v>
      </c>
      <c r="J194" s="214">
        <v>3</v>
      </c>
      <c r="K194" s="214">
        <v>2</v>
      </c>
      <c r="L194" s="213"/>
      <c r="M194" s="213"/>
      <c r="N194" s="213"/>
      <c r="O194" s="213"/>
      <c r="P194" s="217">
        <v>40</v>
      </c>
      <c r="Q194" s="215">
        <v>5</v>
      </c>
      <c r="R194" s="215" t="s">
        <v>25</v>
      </c>
      <c r="S194" s="215" t="s">
        <v>26</v>
      </c>
      <c r="T194" s="105">
        <f t="shared" si="9"/>
        <v>9.71499666666667</v>
      </c>
      <c r="U194" s="105">
        <f t="shared" si="10"/>
        <v>9.71499666666667</v>
      </c>
    </row>
    <row r="195" spans="1:21">
      <c r="A195" s="213">
        <v>192</v>
      </c>
      <c r="B195" s="213" t="s">
        <v>22</v>
      </c>
      <c r="C195" s="214" t="s">
        <v>261</v>
      </c>
      <c r="D195" s="214" t="s">
        <v>272</v>
      </c>
      <c r="E195" s="213">
        <v>12519</v>
      </c>
      <c r="F195" s="214">
        <v>14785</v>
      </c>
      <c r="G195" s="219">
        <v>475</v>
      </c>
      <c r="H195" s="216">
        <v>436.9131</v>
      </c>
      <c r="I195" s="214">
        <v>516</v>
      </c>
      <c r="J195" s="214">
        <v>2</v>
      </c>
      <c r="K195" s="214">
        <v>2</v>
      </c>
      <c r="L195" s="213"/>
      <c r="M195" s="213"/>
      <c r="N195" s="213"/>
      <c r="O195" s="213"/>
      <c r="P195" s="217" t="s">
        <v>36</v>
      </c>
      <c r="Q195" s="215" t="s">
        <v>36</v>
      </c>
      <c r="R195" s="215" t="s">
        <v>36</v>
      </c>
      <c r="S195" s="215" t="s">
        <v>36</v>
      </c>
      <c r="T195" s="105">
        <f t="shared" si="9"/>
        <v>7.281885</v>
      </c>
      <c r="U195" s="105">
        <f t="shared" si="10"/>
        <v>7.281885</v>
      </c>
    </row>
    <row r="196" spans="1:21">
      <c r="A196" s="213">
        <v>193</v>
      </c>
      <c r="B196" s="213" t="s">
        <v>22</v>
      </c>
      <c r="C196" s="214" t="s">
        <v>261</v>
      </c>
      <c r="D196" s="214" t="s">
        <v>273</v>
      </c>
      <c r="E196" s="213">
        <v>10242</v>
      </c>
      <c r="F196" s="214">
        <v>10229</v>
      </c>
      <c r="G196" s="219">
        <v>388</v>
      </c>
      <c r="H196" s="216">
        <v>357.4458</v>
      </c>
      <c r="I196" s="214">
        <v>357</v>
      </c>
      <c r="J196" s="214">
        <v>3</v>
      </c>
      <c r="K196" s="214">
        <v>2</v>
      </c>
      <c r="L196" s="213"/>
      <c r="M196" s="213"/>
      <c r="N196" s="213"/>
      <c r="O196" s="213"/>
      <c r="P196" s="217">
        <v>54</v>
      </c>
      <c r="Q196" s="215">
        <v>18</v>
      </c>
      <c r="R196" s="215" t="s">
        <v>25</v>
      </c>
      <c r="S196" s="215" t="s">
        <v>26</v>
      </c>
      <c r="T196" s="105">
        <f t="shared" si="9"/>
        <v>5.95743</v>
      </c>
      <c r="U196" s="105">
        <f t="shared" si="10"/>
        <v>5.95743</v>
      </c>
    </row>
    <row r="197" spans="1:21">
      <c r="A197" s="213">
        <v>194</v>
      </c>
      <c r="B197" s="213" t="s">
        <v>22</v>
      </c>
      <c r="C197" s="214" t="s">
        <v>261</v>
      </c>
      <c r="D197" s="214" t="s">
        <v>274</v>
      </c>
      <c r="E197" s="213">
        <v>5651</v>
      </c>
      <c r="F197" s="214">
        <v>6963</v>
      </c>
      <c r="G197" s="219">
        <v>214</v>
      </c>
      <c r="H197" s="216">
        <v>197.2199</v>
      </c>
      <c r="I197" s="214">
        <v>243</v>
      </c>
      <c r="J197" s="214">
        <v>2</v>
      </c>
      <c r="K197" s="214"/>
      <c r="L197" s="213"/>
      <c r="M197" s="213"/>
      <c r="N197" s="213"/>
      <c r="O197" s="213"/>
      <c r="P197" s="217">
        <v>48</v>
      </c>
      <c r="Q197" s="215">
        <v>2</v>
      </c>
      <c r="R197" s="215" t="s">
        <v>25</v>
      </c>
      <c r="S197" s="215" t="s">
        <v>26</v>
      </c>
      <c r="T197" s="105">
        <f t="shared" si="9"/>
        <v>3.28699833333333</v>
      </c>
      <c r="U197" s="105">
        <f t="shared" si="10"/>
        <v>3.28699833333333</v>
      </c>
    </row>
    <row r="198" spans="1:21">
      <c r="A198" s="213">
        <v>195</v>
      </c>
      <c r="B198" s="213" t="s">
        <v>22</v>
      </c>
      <c r="C198" s="214" t="s">
        <v>261</v>
      </c>
      <c r="D198" s="214" t="s">
        <v>275</v>
      </c>
      <c r="E198" s="213">
        <v>8758</v>
      </c>
      <c r="F198" s="214">
        <v>11060</v>
      </c>
      <c r="G198" s="219">
        <v>332</v>
      </c>
      <c r="H198" s="216">
        <v>305.6542</v>
      </c>
      <c r="I198" s="214">
        <v>386</v>
      </c>
      <c r="J198" s="214">
        <v>2</v>
      </c>
      <c r="K198" s="214">
        <v>2</v>
      </c>
      <c r="L198" s="213"/>
      <c r="M198" s="213"/>
      <c r="N198" s="213"/>
      <c r="O198" s="213"/>
      <c r="P198" s="217">
        <v>15</v>
      </c>
      <c r="Q198" s="215">
        <v>7</v>
      </c>
      <c r="R198" s="215" t="s">
        <v>25</v>
      </c>
      <c r="S198" s="215" t="s">
        <v>26</v>
      </c>
      <c r="T198" s="105">
        <f t="shared" si="9"/>
        <v>5.09423666666667</v>
      </c>
      <c r="U198" s="105">
        <f t="shared" si="10"/>
        <v>5.09423666666667</v>
      </c>
    </row>
    <row r="199" spans="1:21">
      <c r="A199" s="213">
        <v>196</v>
      </c>
      <c r="B199" s="213" t="s">
        <v>22</v>
      </c>
      <c r="C199" s="214" t="s">
        <v>261</v>
      </c>
      <c r="D199" s="214" t="s">
        <v>276</v>
      </c>
      <c r="E199" s="213">
        <v>17545</v>
      </c>
      <c r="F199" s="214">
        <v>17536</v>
      </c>
      <c r="G199" s="219">
        <v>666</v>
      </c>
      <c r="H199" s="216">
        <v>612.3205</v>
      </c>
      <c r="I199" s="214">
        <v>612</v>
      </c>
      <c r="J199" s="214">
        <v>3</v>
      </c>
      <c r="K199" s="214">
        <v>2</v>
      </c>
      <c r="L199" s="213"/>
      <c r="M199" s="213"/>
      <c r="N199" s="213"/>
      <c r="O199" s="213"/>
      <c r="P199" s="217">
        <v>3</v>
      </c>
      <c r="Q199" s="215">
        <v>10</v>
      </c>
      <c r="R199" s="215" t="s">
        <v>25</v>
      </c>
      <c r="S199" s="215" t="s">
        <v>26</v>
      </c>
      <c r="T199" s="105">
        <f t="shared" si="9"/>
        <v>10.2053416666667</v>
      </c>
      <c r="U199" s="105">
        <f t="shared" si="10"/>
        <v>10.2053416666667</v>
      </c>
    </row>
    <row r="200" spans="1:21">
      <c r="A200" s="213">
        <v>197</v>
      </c>
      <c r="B200" s="213" t="s">
        <v>22</v>
      </c>
      <c r="C200" s="214" t="s">
        <v>261</v>
      </c>
      <c r="D200" s="214" t="s">
        <v>277</v>
      </c>
      <c r="E200" s="213">
        <v>12399</v>
      </c>
      <c r="F200" s="214">
        <v>14470</v>
      </c>
      <c r="G200" s="219">
        <v>470</v>
      </c>
      <c r="H200" s="216">
        <v>432.7251</v>
      </c>
      <c r="I200" s="214">
        <v>505</v>
      </c>
      <c r="J200" s="214">
        <v>3</v>
      </c>
      <c r="K200" s="214">
        <v>2</v>
      </c>
      <c r="L200" s="213"/>
      <c r="M200" s="213"/>
      <c r="N200" s="213"/>
      <c r="O200" s="213"/>
      <c r="P200" s="217">
        <v>102</v>
      </c>
      <c r="Q200" s="215">
        <v>15</v>
      </c>
      <c r="R200" s="215" t="s">
        <v>25</v>
      </c>
      <c r="S200" s="215" t="s">
        <v>26</v>
      </c>
      <c r="T200" s="105">
        <f t="shared" si="9"/>
        <v>7.212085</v>
      </c>
      <c r="U200" s="105">
        <f t="shared" si="10"/>
        <v>7.212085</v>
      </c>
    </row>
    <row r="201" hidden="1" spans="1:21">
      <c r="A201" s="213"/>
      <c r="B201" s="213"/>
      <c r="C201" s="213"/>
      <c r="D201" s="214"/>
      <c r="E201" s="213"/>
      <c r="F201" s="213"/>
      <c r="G201" s="221"/>
      <c r="H201" s="216"/>
      <c r="I201" s="213"/>
      <c r="J201" s="213"/>
      <c r="K201" s="213"/>
      <c r="L201" s="213"/>
      <c r="M201" s="213"/>
      <c r="N201" s="213"/>
      <c r="O201" s="213"/>
      <c r="P201" s="214"/>
      <c r="Q201" s="213"/>
      <c r="R201" s="213"/>
      <c r="S201" s="213"/>
    </row>
    <row r="202" hidden="1" spans="1:21">
      <c r="A202" s="213">
        <v>199</v>
      </c>
      <c r="B202" s="213" t="s">
        <v>109</v>
      </c>
      <c r="C202" s="214" t="s">
        <v>278</v>
      </c>
      <c r="D202" s="214" t="s">
        <v>279</v>
      </c>
      <c r="E202" s="213">
        <v>10450</v>
      </c>
      <c r="F202" s="214">
        <v>15530</v>
      </c>
      <c r="G202" s="219">
        <v>417</v>
      </c>
      <c r="H202" s="216">
        <v>364.705</v>
      </c>
      <c r="I202" s="214">
        <v>542</v>
      </c>
      <c r="J202" s="214">
        <v>5</v>
      </c>
      <c r="K202" s="214">
        <v>2</v>
      </c>
      <c r="L202" s="218">
        <v>7</v>
      </c>
      <c r="M202" s="218">
        <v>3</v>
      </c>
      <c r="N202" s="218">
        <v>0</v>
      </c>
      <c r="O202" s="218"/>
      <c r="P202" s="213">
        <v>77</v>
      </c>
      <c r="Q202" s="215">
        <v>36</v>
      </c>
      <c r="R202" s="215" t="s">
        <v>25</v>
      </c>
      <c r="S202" s="215" t="s">
        <v>26</v>
      </c>
    </row>
    <row r="203" hidden="1" spans="1:21">
      <c r="A203" s="213">
        <v>200</v>
      </c>
      <c r="B203" s="213" t="s">
        <v>109</v>
      </c>
      <c r="C203" s="214" t="s">
        <v>278</v>
      </c>
      <c r="D203" s="214" t="s">
        <v>280</v>
      </c>
      <c r="E203" s="213">
        <v>8580</v>
      </c>
      <c r="F203" s="214">
        <v>8567</v>
      </c>
      <c r="G203" s="219">
        <v>304</v>
      </c>
      <c r="H203" s="216">
        <v>299.442</v>
      </c>
      <c r="I203" s="214">
        <v>299</v>
      </c>
      <c r="J203" s="214">
        <v>2</v>
      </c>
      <c r="K203" s="214"/>
      <c r="L203" s="218">
        <v>4</v>
      </c>
      <c r="M203" s="218">
        <v>1</v>
      </c>
      <c r="N203" s="218">
        <v>0</v>
      </c>
      <c r="O203" s="218">
        <v>0</v>
      </c>
      <c r="P203" s="213">
        <v>114</v>
      </c>
      <c r="Q203" s="215" t="s">
        <v>36</v>
      </c>
      <c r="R203" s="215" t="s">
        <v>36</v>
      </c>
      <c r="S203" s="215" t="s">
        <v>36</v>
      </c>
    </row>
    <row r="204" hidden="1" spans="1:21">
      <c r="A204" s="213">
        <v>201</v>
      </c>
      <c r="B204" s="213" t="s">
        <v>109</v>
      </c>
      <c r="C204" s="214" t="s">
        <v>278</v>
      </c>
      <c r="D204" s="214" t="s">
        <v>281</v>
      </c>
      <c r="E204" s="213">
        <v>9861</v>
      </c>
      <c r="F204" s="214">
        <v>15931</v>
      </c>
      <c r="G204" s="219">
        <v>373</v>
      </c>
      <c r="H204" s="216">
        <v>344.1489</v>
      </c>
      <c r="I204" s="214">
        <v>556</v>
      </c>
      <c r="J204" s="214">
        <v>5</v>
      </c>
      <c r="K204" s="214">
        <v>2</v>
      </c>
      <c r="L204" s="218">
        <v>6</v>
      </c>
      <c r="M204" s="218">
        <v>2</v>
      </c>
      <c r="N204" s="218">
        <v>0</v>
      </c>
      <c r="O204" s="218"/>
      <c r="P204" s="213">
        <v>0</v>
      </c>
      <c r="Q204" s="215">
        <v>10</v>
      </c>
      <c r="R204" s="215" t="s">
        <v>25</v>
      </c>
      <c r="S204" s="215" t="s">
        <v>26</v>
      </c>
    </row>
    <row r="205" hidden="1" spans="1:21">
      <c r="A205" s="213">
        <v>202</v>
      </c>
      <c r="B205" s="213" t="s">
        <v>109</v>
      </c>
      <c r="C205" s="214" t="s">
        <v>278</v>
      </c>
      <c r="D205" s="214" t="s">
        <v>282</v>
      </c>
      <c r="E205" s="213">
        <v>12452</v>
      </c>
      <c r="F205" s="214">
        <v>20057</v>
      </c>
      <c r="G205" s="219">
        <v>448</v>
      </c>
      <c r="H205" s="216">
        <v>434.5748</v>
      </c>
      <c r="I205" s="214">
        <v>700</v>
      </c>
      <c r="J205" s="214">
        <v>5</v>
      </c>
      <c r="K205" s="214">
        <v>2</v>
      </c>
      <c r="L205" s="218">
        <v>8</v>
      </c>
      <c r="M205" s="218">
        <v>2</v>
      </c>
      <c r="N205" s="218">
        <v>0</v>
      </c>
      <c r="O205" s="218"/>
      <c r="P205" s="213">
        <v>7</v>
      </c>
      <c r="Q205" s="215">
        <v>53</v>
      </c>
      <c r="R205" s="215" t="s">
        <v>25</v>
      </c>
      <c r="S205" s="215" t="s">
        <v>26</v>
      </c>
    </row>
    <row r="206" hidden="1" spans="1:21">
      <c r="A206" s="213">
        <v>203</v>
      </c>
      <c r="B206" s="213" t="s">
        <v>109</v>
      </c>
      <c r="C206" s="214" t="s">
        <v>278</v>
      </c>
      <c r="D206" s="214" t="s">
        <v>283</v>
      </c>
      <c r="E206" s="213">
        <v>14756</v>
      </c>
      <c r="F206" s="214">
        <v>23868</v>
      </c>
      <c r="G206" s="219">
        <v>590</v>
      </c>
      <c r="H206" s="216">
        <v>514.9844</v>
      </c>
      <c r="I206" s="214">
        <v>833</v>
      </c>
      <c r="J206" s="214">
        <v>3</v>
      </c>
      <c r="K206" s="214">
        <v>2</v>
      </c>
      <c r="L206" s="218">
        <v>8</v>
      </c>
      <c r="M206" s="218">
        <v>3</v>
      </c>
      <c r="N206" s="218">
        <v>0</v>
      </c>
      <c r="O206" s="218">
        <v>0</v>
      </c>
      <c r="P206" s="213">
        <v>36</v>
      </c>
      <c r="Q206" s="215">
        <v>15</v>
      </c>
      <c r="R206" s="215" t="s">
        <v>25</v>
      </c>
      <c r="S206" s="215" t="s">
        <v>26</v>
      </c>
    </row>
    <row r="207" hidden="1" spans="1:21">
      <c r="A207" s="213">
        <v>204</v>
      </c>
      <c r="B207" s="213" t="s">
        <v>109</v>
      </c>
      <c r="C207" s="214" t="s">
        <v>278</v>
      </c>
      <c r="D207" s="214" t="s">
        <v>284</v>
      </c>
      <c r="E207" s="213">
        <v>9003</v>
      </c>
      <c r="F207" s="214">
        <v>15158</v>
      </c>
      <c r="G207" s="219">
        <v>357</v>
      </c>
      <c r="H207" s="216">
        <v>314.2047</v>
      </c>
      <c r="I207" s="214">
        <v>529</v>
      </c>
      <c r="J207" s="214">
        <v>3</v>
      </c>
      <c r="K207" s="214"/>
      <c r="L207" s="218">
        <v>4</v>
      </c>
      <c r="M207" s="218">
        <v>3</v>
      </c>
      <c r="N207" s="218">
        <v>0</v>
      </c>
      <c r="O207" s="218"/>
      <c r="P207" s="213">
        <v>26</v>
      </c>
      <c r="Q207" s="215">
        <v>16</v>
      </c>
      <c r="R207" s="215" t="s">
        <v>25</v>
      </c>
      <c r="S207" s="215" t="s">
        <v>26</v>
      </c>
    </row>
    <row r="208" hidden="1" spans="1:21">
      <c r="A208" s="213">
        <v>205</v>
      </c>
      <c r="B208" s="213" t="s">
        <v>109</v>
      </c>
      <c r="C208" s="214" t="s">
        <v>278</v>
      </c>
      <c r="D208" s="214" t="s">
        <v>285</v>
      </c>
      <c r="E208" s="213">
        <v>6748</v>
      </c>
      <c r="F208" s="214">
        <v>7020</v>
      </c>
      <c r="G208" s="219">
        <v>255</v>
      </c>
      <c r="H208" s="216">
        <v>235.5052</v>
      </c>
      <c r="I208" s="214">
        <v>245</v>
      </c>
      <c r="J208" s="214">
        <v>2</v>
      </c>
      <c r="K208" s="214"/>
      <c r="L208" s="218">
        <v>4</v>
      </c>
      <c r="M208" s="218">
        <v>1</v>
      </c>
      <c r="N208" s="218">
        <v>0</v>
      </c>
      <c r="O208" s="218"/>
      <c r="P208" s="213">
        <v>65</v>
      </c>
      <c r="Q208" s="215" t="s">
        <v>36</v>
      </c>
      <c r="R208" s="215" t="s">
        <v>36</v>
      </c>
      <c r="S208" s="215" t="s">
        <v>36</v>
      </c>
    </row>
    <row r="209" hidden="1" spans="1:19">
      <c r="A209" s="213">
        <v>206</v>
      </c>
      <c r="B209" s="213" t="s">
        <v>109</v>
      </c>
      <c r="C209" s="214" t="s">
        <v>278</v>
      </c>
      <c r="D209" s="214" t="s">
        <v>286</v>
      </c>
      <c r="E209" s="213">
        <v>11747</v>
      </c>
      <c r="F209" s="214">
        <v>19284</v>
      </c>
      <c r="G209" s="219">
        <v>460</v>
      </c>
      <c r="H209" s="216">
        <v>409.9703</v>
      </c>
      <c r="I209" s="214">
        <v>673</v>
      </c>
      <c r="J209" s="214">
        <v>4</v>
      </c>
      <c r="K209" s="214">
        <v>2</v>
      </c>
      <c r="L209" s="218">
        <v>6</v>
      </c>
      <c r="M209" s="218">
        <v>3</v>
      </c>
      <c r="N209" s="218">
        <v>0</v>
      </c>
      <c r="O209" s="218"/>
      <c r="P209" s="213">
        <v>14</v>
      </c>
      <c r="Q209" s="215">
        <v>14</v>
      </c>
      <c r="R209" s="215" t="s">
        <v>25</v>
      </c>
      <c r="S209" s="215" t="s">
        <v>26</v>
      </c>
    </row>
    <row r="210" hidden="1" spans="1:19">
      <c r="A210" s="213">
        <v>207</v>
      </c>
      <c r="B210" s="213" t="s">
        <v>109</v>
      </c>
      <c r="C210" s="214" t="s">
        <v>278</v>
      </c>
      <c r="D210" s="214" t="s">
        <v>287</v>
      </c>
      <c r="E210" s="213">
        <v>8808</v>
      </c>
      <c r="F210" s="214">
        <v>11146</v>
      </c>
      <c r="G210" s="219">
        <v>335</v>
      </c>
      <c r="H210" s="216">
        <v>307.3992</v>
      </c>
      <c r="I210" s="214">
        <v>389</v>
      </c>
      <c r="J210" s="214">
        <v>3</v>
      </c>
      <c r="K210" s="214"/>
      <c r="L210" s="218">
        <v>5</v>
      </c>
      <c r="M210" s="218">
        <v>1</v>
      </c>
      <c r="N210" s="218">
        <v>0</v>
      </c>
      <c r="O210" s="218"/>
      <c r="P210" s="213">
        <v>168</v>
      </c>
      <c r="Q210" s="215" t="s">
        <v>36</v>
      </c>
      <c r="R210" s="215" t="s">
        <v>36</v>
      </c>
      <c r="S210" s="215" t="s">
        <v>36</v>
      </c>
    </row>
    <row r="211" hidden="1" spans="1:19">
      <c r="A211" s="213">
        <v>208</v>
      </c>
      <c r="B211" s="213" t="s">
        <v>109</v>
      </c>
      <c r="C211" s="214" t="s">
        <v>278</v>
      </c>
      <c r="D211" s="214" t="s">
        <v>288</v>
      </c>
      <c r="E211" s="213">
        <v>7936</v>
      </c>
      <c r="F211" s="214">
        <v>9685</v>
      </c>
      <c r="G211" s="219">
        <v>375</v>
      </c>
      <c r="H211" s="216">
        <v>276.9664</v>
      </c>
      <c r="I211" s="214">
        <v>338</v>
      </c>
      <c r="J211" s="214">
        <v>4</v>
      </c>
      <c r="K211" s="214"/>
      <c r="L211" s="218">
        <v>6</v>
      </c>
      <c r="M211" s="218">
        <v>2</v>
      </c>
      <c r="N211" s="218">
        <v>0</v>
      </c>
      <c r="O211" s="218"/>
      <c r="P211" s="213">
        <v>19</v>
      </c>
      <c r="Q211" s="215">
        <v>18</v>
      </c>
      <c r="R211" s="215" t="s">
        <v>25</v>
      </c>
      <c r="S211" s="215" t="s">
        <v>26</v>
      </c>
    </row>
    <row r="212" hidden="1" spans="1:19">
      <c r="A212" s="213">
        <v>209</v>
      </c>
      <c r="B212" s="213" t="s">
        <v>109</v>
      </c>
      <c r="C212" s="214" t="s">
        <v>278</v>
      </c>
      <c r="D212" s="214" t="s">
        <v>289</v>
      </c>
      <c r="E212" s="213">
        <v>9137</v>
      </c>
      <c r="F212" s="214">
        <v>13152</v>
      </c>
      <c r="G212" s="219">
        <v>326</v>
      </c>
      <c r="H212" s="216">
        <v>318.8813</v>
      </c>
      <c r="I212" s="214">
        <v>459</v>
      </c>
      <c r="J212" s="214">
        <v>3</v>
      </c>
      <c r="K212" s="214">
        <v>2</v>
      </c>
      <c r="L212" s="218">
        <v>6</v>
      </c>
      <c r="M212" s="218">
        <v>1</v>
      </c>
      <c r="N212" s="218">
        <v>0</v>
      </c>
      <c r="O212" s="218"/>
      <c r="P212" s="213">
        <v>52</v>
      </c>
      <c r="Q212" s="215">
        <v>25</v>
      </c>
      <c r="R212" s="215" t="s">
        <v>25</v>
      </c>
      <c r="S212" s="215" t="s">
        <v>26</v>
      </c>
    </row>
    <row r="213" hidden="1" spans="1:19">
      <c r="A213" s="213">
        <v>210</v>
      </c>
      <c r="B213" s="213" t="s">
        <v>109</v>
      </c>
      <c r="C213" s="214" t="s">
        <v>278</v>
      </c>
      <c r="D213" s="214" t="s">
        <v>290</v>
      </c>
      <c r="E213" s="213">
        <v>10699</v>
      </c>
      <c r="F213" s="214">
        <v>17421</v>
      </c>
      <c r="G213" s="219">
        <v>398</v>
      </c>
      <c r="H213" s="216">
        <v>373.3951</v>
      </c>
      <c r="I213" s="214">
        <v>608</v>
      </c>
      <c r="J213" s="214">
        <v>2</v>
      </c>
      <c r="K213" s="214">
        <v>2</v>
      </c>
      <c r="L213" s="218">
        <v>5</v>
      </c>
      <c r="M213" s="218">
        <v>2</v>
      </c>
      <c r="N213" s="218">
        <v>0</v>
      </c>
      <c r="O213" s="218"/>
      <c r="P213" s="213">
        <v>36</v>
      </c>
      <c r="Q213" s="215">
        <v>10</v>
      </c>
      <c r="R213" s="215" t="s">
        <v>25</v>
      </c>
      <c r="S213" s="215" t="s">
        <v>26</v>
      </c>
    </row>
    <row r="214" hidden="1" spans="1:19">
      <c r="A214" s="213">
        <v>211</v>
      </c>
      <c r="B214" s="213" t="s">
        <v>109</v>
      </c>
      <c r="C214" s="214" t="s">
        <v>278</v>
      </c>
      <c r="D214" s="214" t="s">
        <v>291</v>
      </c>
      <c r="E214" s="213">
        <v>11212</v>
      </c>
      <c r="F214" s="214">
        <v>19857</v>
      </c>
      <c r="G214" s="219">
        <v>351</v>
      </c>
      <c r="H214" s="216">
        <v>391.2988</v>
      </c>
      <c r="I214" s="214">
        <v>693</v>
      </c>
      <c r="J214" s="214">
        <v>3</v>
      </c>
      <c r="K214" s="214">
        <v>2</v>
      </c>
      <c r="L214" s="218">
        <v>5</v>
      </c>
      <c r="M214" s="218">
        <v>3</v>
      </c>
      <c r="N214" s="218">
        <v>0</v>
      </c>
      <c r="O214" s="218">
        <v>0</v>
      </c>
      <c r="P214" s="213">
        <v>42</v>
      </c>
      <c r="Q214" s="215">
        <v>20</v>
      </c>
      <c r="R214" s="215" t="s">
        <v>25</v>
      </c>
      <c r="S214" s="215" t="s">
        <v>26</v>
      </c>
    </row>
    <row r="215" hidden="1" spans="1:19">
      <c r="A215" s="213">
        <v>212</v>
      </c>
      <c r="B215" s="213" t="s">
        <v>109</v>
      </c>
      <c r="C215" s="214" t="s">
        <v>278</v>
      </c>
      <c r="D215" s="214" t="s">
        <v>292</v>
      </c>
      <c r="E215" s="213">
        <v>11316</v>
      </c>
      <c r="F215" s="214">
        <v>12722</v>
      </c>
      <c r="G215" s="219">
        <v>482</v>
      </c>
      <c r="H215" s="216">
        <v>394.9284</v>
      </c>
      <c r="I215" s="214">
        <v>444</v>
      </c>
      <c r="J215" s="214">
        <v>4</v>
      </c>
      <c r="K215" s="214">
        <v>2</v>
      </c>
      <c r="L215" s="218">
        <v>7</v>
      </c>
      <c r="M215" s="218">
        <v>2</v>
      </c>
      <c r="N215" s="218">
        <v>0</v>
      </c>
      <c r="O215" s="218"/>
      <c r="P215" s="213">
        <v>36</v>
      </c>
      <c r="Q215" s="215">
        <v>13</v>
      </c>
      <c r="R215" s="215" t="s">
        <v>25</v>
      </c>
      <c r="S215" s="215" t="s">
        <v>26</v>
      </c>
    </row>
    <row r="216" hidden="1" spans="1:19">
      <c r="A216" s="213">
        <v>213</v>
      </c>
      <c r="B216" s="213" t="s">
        <v>109</v>
      </c>
      <c r="C216" s="214" t="s">
        <v>278</v>
      </c>
      <c r="D216" s="214" t="s">
        <v>293</v>
      </c>
      <c r="E216" s="213">
        <v>10242</v>
      </c>
      <c r="F216" s="214">
        <v>13926</v>
      </c>
      <c r="G216" s="219">
        <v>445</v>
      </c>
      <c r="H216" s="216">
        <v>357.4458</v>
      </c>
      <c r="I216" s="214">
        <v>486</v>
      </c>
      <c r="J216" s="214">
        <v>3</v>
      </c>
      <c r="K216" s="214">
        <v>2</v>
      </c>
      <c r="L216" s="218">
        <v>7</v>
      </c>
      <c r="M216" s="218">
        <v>2</v>
      </c>
      <c r="N216" s="218">
        <v>0</v>
      </c>
      <c r="O216" s="218"/>
      <c r="P216" s="213">
        <v>52</v>
      </c>
      <c r="Q216" s="215">
        <v>14</v>
      </c>
      <c r="R216" s="215" t="s">
        <v>25</v>
      </c>
      <c r="S216" s="215" t="s">
        <v>26</v>
      </c>
    </row>
    <row r="217" hidden="1" spans="1:19">
      <c r="A217" s="213">
        <v>214</v>
      </c>
      <c r="B217" s="213" t="s">
        <v>109</v>
      </c>
      <c r="C217" s="214" t="s">
        <v>278</v>
      </c>
      <c r="D217" s="214" t="s">
        <v>294</v>
      </c>
      <c r="E217" s="213">
        <v>12639</v>
      </c>
      <c r="F217" s="214">
        <v>17536</v>
      </c>
      <c r="G217" s="219">
        <v>445</v>
      </c>
      <c r="H217" s="216">
        <v>441.1011</v>
      </c>
      <c r="I217" s="214">
        <v>612</v>
      </c>
      <c r="J217" s="214">
        <v>2</v>
      </c>
      <c r="K217" s="214">
        <v>2</v>
      </c>
      <c r="L217" s="218">
        <v>4</v>
      </c>
      <c r="M217" s="218">
        <v>2</v>
      </c>
      <c r="N217" s="218">
        <v>0</v>
      </c>
      <c r="O217" s="218"/>
      <c r="P217" s="213">
        <v>52</v>
      </c>
      <c r="Q217" s="215">
        <v>15</v>
      </c>
      <c r="R217" s="215" t="s">
        <v>25</v>
      </c>
      <c r="S217" s="215" t="s">
        <v>26</v>
      </c>
    </row>
    <row r="218" hidden="1" spans="1:19">
      <c r="A218" s="213">
        <v>215</v>
      </c>
      <c r="B218" s="213" t="s">
        <v>109</v>
      </c>
      <c r="C218" s="214" t="s">
        <v>278</v>
      </c>
      <c r="D218" s="214" t="s">
        <v>295</v>
      </c>
      <c r="E218" s="213">
        <v>9613</v>
      </c>
      <c r="F218" s="214">
        <v>15903</v>
      </c>
      <c r="G218" s="219">
        <v>487</v>
      </c>
      <c r="H218" s="216">
        <v>335.4937</v>
      </c>
      <c r="I218" s="214">
        <v>555</v>
      </c>
      <c r="J218" s="214">
        <v>4</v>
      </c>
      <c r="K218" s="214"/>
      <c r="L218" s="218">
        <v>6</v>
      </c>
      <c r="M218" s="218">
        <v>3</v>
      </c>
      <c r="N218" s="218">
        <v>0</v>
      </c>
      <c r="O218" s="218"/>
      <c r="P218" s="213">
        <v>124</v>
      </c>
      <c r="Q218" s="215">
        <v>12</v>
      </c>
      <c r="R218" s="215" t="s">
        <v>25</v>
      </c>
      <c r="S218" s="215" t="s">
        <v>26</v>
      </c>
    </row>
    <row r="219" hidden="1" spans="1:19">
      <c r="A219" s="213">
        <v>216</v>
      </c>
      <c r="B219" s="213" t="s">
        <v>109</v>
      </c>
      <c r="C219" s="214" t="s">
        <v>278</v>
      </c>
      <c r="D219" s="214" t="s">
        <v>296</v>
      </c>
      <c r="E219" s="213">
        <v>10468</v>
      </c>
      <c r="F219" s="214">
        <v>17937</v>
      </c>
      <c r="G219" s="219">
        <v>371</v>
      </c>
      <c r="H219" s="216">
        <v>365.3332</v>
      </c>
      <c r="I219" s="214">
        <v>626</v>
      </c>
      <c r="J219" s="214">
        <v>3</v>
      </c>
      <c r="K219" s="214"/>
      <c r="L219" s="218">
        <v>4</v>
      </c>
      <c r="M219" s="218">
        <v>1</v>
      </c>
      <c r="N219" s="218">
        <v>0</v>
      </c>
      <c r="O219" s="218"/>
      <c r="P219" s="213">
        <v>82</v>
      </c>
      <c r="Q219" s="215" t="s">
        <v>36</v>
      </c>
      <c r="R219" s="215" t="s">
        <v>36</v>
      </c>
      <c r="S219" s="215" t="s">
        <v>36</v>
      </c>
    </row>
    <row r="220" hidden="1" spans="1:19">
      <c r="A220" s="213">
        <v>217</v>
      </c>
      <c r="B220" s="213" t="s">
        <v>109</v>
      </c>
      <c r="C220" s="214" t="s">
        <v>278</v>
      </c>
      <c r="D220" s="214" t="s">
        <v>297</v>
      </c>
      <c r="E220" s="213">
        <v>10809</v>
      </c>
      <c r="F220" s="214">
        <v>16791</v>
      </c>
      <c r="G220" s="219">
        <v>383</v>
      </c>
      <c r="H220" s="216">
        <v>377.2341</v>
      </c>
      <c r="I220" s="214">
        <v>586</v>
      </c>
      <c r="J220" s="214">
        <v>3</v>
      </c>
      <c r="K220" s="214">
        <v>2</v>
      </c>
      <c r="L220" s="218">
        <v>5</v>
      </c>
      <c r="M220" s="218">
        <v>4</v>
      </c>
      <c r="N220" s="218">
        <v>0</v>
      </c>
      <c r="O220" s="218"/>
      <c r="P220" s="213">
        <v>60</v>
      </c>
      <c r="Q220" s="215">
        <v>13</v>
      </c>
      <c r="R220" s="215" t="s">
        <v>25</v>
      </c>
      <c r="S220" s="215" t="s">
        <v>26</v>
      </c>
    </row>
    <row r="221" hidden="1" spans="1:19">
      <c r="A221" s="213">
        <v>218</v>
      </c>
      <c r="B221" s="213" t="s">
        <v>109</v>
      </c>
      <c r="C221" s="214" t="s">
        <v>278</v>
      </c>
      <c r="D221" s="214" t="s">
        <v>298</v>
      </c>
      <c r="E221" s="213">
        <v>10118</v>
      </c>
      <c r="F221" s="214">
        <v>14986</v>
      </c>
      <c r="G221" s="219">
        <v>382</v>
      </c>
      <c r="H221" s="216">
        <v>353.1182</v>
      </c>
      <c r="I221" s="214">
        <v>523</v>
      </c>
      <c r="J221" s="214">
        <v>7</v>
      </c>
      <c r="K221" s="214"/>
      <c r="L221" s="218">
        <v>5</v>
      </c>
      <c r="M221" s="218">
        <v>3</v>
      </c>
      <c r="N221" s="218">
        <v>0</v>
      </c>
      <c r="O221" s="218"/>
      <c r="P221" s="213">
        <v>102</v>
      </c>
      <c r="Q221" s="215">
        <v>32</v>
      </c>
      <c r="R221" s="215" t="s">
        <v>25</v>
      </c>
      <c r="S221" s="215" t="s">
        <v>26</v>
      </c>
    </row>
    <row r="222" hidden="1" spans="1:19">
      <c r="A222" s="213">
        <v>219</v>
      </c>
      <c r="B222" s="213" t="s">
        <v>109</v>
      </c>
      <c r="C222" s="214" t="s">
        <v>278</v>
      </c>
      <c r="D222" s="214" t="s">
        <v>299</v>
      </c>
      <c r="E222" s="213">
        <v>10400</v>
      </c>
      <c r="F222" s="214">
        <v>16304</v>
      </c>
      <c r="G222" s="219">
        <v>416</v>
      </c>
      <c r="H222" s="216">
        <v>362.96</v>
      </c>
      <c r="I222" s="214">
        <v>569</v>
      </c>
      <c r="J222" s="214">
        <v>3</v>
      </c>
      <c r="K222" s="214">
        <v>2</v>
      </c>
      <c r="L222" s="218">
        <v>6</v>
      </c>
      <c r="M222" s="218">
        <v>2</v>
      </c>
      <c r="N222" s="218">
        <v>0</v>
      </c>
      <c r="O222" s="218"/>
      <c r="P222" s="213">
        <v>77</v>
      </c>
      <c r="Q222" s="215">
        <v>10</v>
      </c>
      <c r="R222" s="215" t="s">
        <v>25</v>
      </c>
      <c r="S222" s="215" t="s">
        <v>26</v>
      </c>
    </row>
    <row r="223" hidden="1" spans="1:19">
      <c r="A223" s="213">
        <v>220</v>
      </c>
      <c r="B223" s="213" t="s">
        <v>109</v>
      </c>
      <c r="C223" s="214" t="s">
        <v>278</v>
      </c>
      <c r="D223" s="214" t="s">
        <v>300</v>
      </c>
      <c r="E223" s="213">
        <v>9581</v>
      </c>
      <c r="F223" s="214">
        <v>15415</v>
      </c>
      <c r="G223" s="219">
        <v>395</v>
      </c>
      <c r="H223" s="216">
        <v>334.3769</v>
      </c>
      <c r="I223" s="214">
        <v>538</v>
      </c>
      <c r="J223" s="214">
        <v>3</v>
      </c>
      <c r="K223" s="214"/>
      <c r="L223" s="218">
        <v>5</v>
      </c>
      <c r="M223" s="218">
        <v>1</v>
      </c>
      <c r="N223" s="218">
        <v>0</v>
      </c>
      <c r="O223" s="218"/>
      <c r="P223" s="213">
        <v>104</v>
      </c>
      <c r="Q223" s="215">
        <v>10</v>
      </c>
      <c r="R223" s="215" t="s">
        <v>25</v>
      </c>
      <c r="S223" s="215" t="s">
        <v>26</v>
      </c>
    </row>
    <row r="224" hidden="1" spans="1:19">
      <c r="A224" s="213"/>
      <c r="B224" s="213"/>
      <c r="C224" s="213"/>
      <c r="D224" s="214"/>
      <c r="E224" s="213"/>
      <c r="F224" s="213"/>
      <c r="G224" s="221"/>
      <c r="H224" s="216"/>
      <c r="I224" s="213"/>
      <c r="J224" s="213"/>
      <c r="K224" s="213"/>
      <c r="L224" s="213"/>
      <c r="M224" s="213"/>
      <c r="N224" s="213"/>
      <c r="O224" s="213"/>
      <c r="P224" s="213"/>
      <c r="Q224" s="213"/>
      <c r="R224" s="213"/>
      <c r="S224" s="213"/>
    </row>
    <row r="225" spans="1:21">
      <c r="A225" s="213">
        <v>222</v>
      </c>
      <c r="B225" s="213" t="s">
        <v>22</v>
      </c>
      <c r="C225" s="214" t="s">
        <v>301</v>
      </c>
      <c r="D225" s="214" t="s">
        <v>302</v>
      </c>
      <c r="E225" s="213">
        <v>6688</v>
      </c>
      <c r="F225" s="214">
        <v>6562</v>
      </c>
      <c r="G225" s="215">
        <v>263</v>
      </c>
      <c r="H225" s="216">
        <v>233.4112</v>
      </c>
      <c r="I225" s="214">
        <v>229</v>
      </c>
      <c r="J225" s="214">
        <v>3</v>
      </c>
      <c r="K225" s="214">
        <v>2</v>
      </c>
      <c r="L225" s="217">
        <v>4</v>
      </c>
      <c r="M225" s="218">
        <v>0</v>
      </c>
      <c r="N225" s="217">
        <v>0</v>
      </c>
      <c r="O225" s="214"/>
      <c r="P225" s="213">
        <v>25</v>
      </c>
      <c r="Q225" s="215">
        <v>17</v>
      </c>
      <c r="R225" s="215" t="s">
        <v>25</v>
      </c>
      <c r="S225" s="215" t="s">
        <v>26</v>
      </c>
      <c r="T225" s="105">
        <f t="shared" ref="T225:T249" si="11">H225*5/25/12</f>
        <v>3.89018666666667</v>
      </c>
      <c r="U225" s="105">
        <f t="shared" ref="U225:U249" si="12">T225-L225-M225-N225-O225</f>
        <v>-0.109813333333333</v>
      </c>
    </row>
    <row r="226" spans="1:21">
      <c r="A226" s="213">
        <v>223</v>
      </c>
      <c r="B226" s="213" t="s">
        <v>22</v>
      </c>
      <c r="C226" s="214" t="s">
        <v>301</v>
      </c>
      <c r="D226" s="214" t="s">
        <v>303</v>
      </c>
      <c r="E226" s="213">
        <v>4140</v>
      </c>
      <c r="F226" s="214">
        <v>4585</v>
      </c>
      <c r="G226" s="215">
        <v>165</v>
      </c>
      <c r="H226" s="216">
        <v>144.486</v>
      </c>
      <c r="I226" s="214">
        <v>160</v>
      </c>
      <c r="J226" s="214">
        <v>2</v>
      </c>
      <c r="K226" s="214">
        <v>2</v>
      </c>
      <c r="L226" s="217">
        <v>4</v>
      </c>
      <c r="M226" s="218">
        <v>0</v>
      </c>
      <c r="N226" s="217">
        <v>0</v>
      </c>
      <c r="O226" s="214"/>
      <c r="P226" s="213">
        <v>35</v>
      </c>
      <c r="Q226" s="215">
        <v>5</v>
      </c>
      <c r="R226" s="215" t="s">
        <v>25</v>
      </c>
      <c r="S226" s="215" t="s">
        <v>26</v>
      </c>
      <c r="T226" s="105">
        <f t="shared" si="11"/>
        <v>2.4081</v>
      </c>
      <c r="U226" s="105">
        <f t="shared" si="12"/>
        <v>-1.5919</v>
      </c>
    </row>
    <row r="227" spans="1:21">
      <c r="A227" s="213">
        <v>224</v>
      </c>
      <c r="B227" s="213" t="s">
        <v>22</v>
      </c>
      <c r="C227" s="214" t="s">
        <v>301</v>
      </c>
      <c r="D227" s="214" t="s">
        <v>304</v>
      </c>
      <c r="E227" s="213">
        <v>4270</v>
      </c>
      <c r="F227" s="214">
        <v>7650</v>
      </c>
      <c r="G227" s="215">
        <v>171</v>
      </c>
      <c r="H227" s="216">
        <v>149.023</v>
      </c>
      <c r="I227" s="214">
        <v>267</v>
      </c>
      <c r="J227" s="214">
        <v>3</v>
      </c>
      <c r="K227" s="214">
        <v>2</v>
      </c>
      <c r="L227" s="217">
        <v>4</v>
      </c>
      <c r="M227" s="218">
        <v>0</v>
      </c>
      <c r="N227" s="217">
        <v>1</v>
      </c>
      <c r="O227" s="214"/>
      <c r="P227" s="213">
        <v>175</v>
      </c>
      <c r="Q227" s="215">
        <v>40</v>
      </c>
      <c r="R227" s="215" t="s">
        <v>25</v>
      </c>
      <c r="S227" s="215" t="s">
        <v>26</v>
      </c>
      <c r="T227" s="105">
        <f t="shared" si="11"/>
        <v>2.48371666666667</v>
      </c>
      <c r="U227" s="105">
        <f t="shared" si="12"/>
        <v>-2.51628333333333</v>
      </c>
    </row>
    <row r="228" spans="1:21">
      <c r="A228" s="213">
        <v>225</v>
      </c>
      <c r="B228" s="213" t="s">
        <v>22</v>
      </c>
      <c r="C228" s="214" t="s">
        <v>301</v>
      </c>
      <c r="D228" s="214" t="s">
        <v>305</v>
      </c>
      <c r="E228" s="213">
        <v>4538</v>
      </c>
      <c r="F228" s="214">
        <v>8166</v>
      </c>
      <c r="G228" s="215">
        <v>182</v>
      </c>
      <c r="H228" s="216">
        <v>158.3762</v>
      </c>
      <c r="I228" s="214">
        <v>285</v>
      </c>
      <c r="J228" s="214">
        <v>3</v>
      </c>
      <c r="K228" s="214">
        <v>2</v>
      </c>
      <c r="L228" s="217">
        <v>4</v>
      </c>
      <c r="M228" s="218">
        <v>0</v>
      </c>
      <c r="N228" s="217">
        <v>1</v>
      </c>
      <c r="O228" s="214"/>
      <c r="P228" s="213">
        <v>175</v>
      </c>
      <c r="Q228" s="215">
        <v>75</v>
      </c>
      <c r="R228" s="215" t="s">
        <v>25</v>
      </c>
      <c r="S228" s="215" t="s">
        <v>26</v>
      </c>
      <c r="T228" s="105">
        <f t="shared" si="11"/>
        <v>2.63960333333333</v>
      </c>
      <c r="U228" s="105">
        <f t="shared" si="12"/>
        <v>-2.36039666666667</v>
      </c>
    </row>
    <row r="229" spans="1:21">
      <c r="A229" s="213">
        <v>226</v>
      </c>
      <c r="B229" s="213" t="s">
        <v>22</v>
      </c>
      <c r="C229" s="214" t="s">
        <v>301</v>
      </c>
      <c r="D229" s="214" t="s">
        <v>306</v>
      </c>
      <c r="E229" s="213">
        <v>7410</v>
      </c>
      <c r="F229" s="214">
        <v>7421</v>
      </c>
      <c r="G229" s="215">
        <v>296</v>
      </c>
      <c r="H229" s="216">
        <v>258.609</v>
      </c>
      <c r="I229" s="214">
        <v>259</v>
      </c>
      <c r="J229" s="214">
        <v>2</v>
      </c>
      <c r="K229" s="214"/>
      <c r="L229" s="217">
        <v>4</v>
      </c>
      <c r="M229" s="218">
        <v>0</v>
      </c>
      <c r="N229" s="217">
        <v>0</v>
      </c>
      <c r="O229" s="214"/>
      <c r="P229" s="213">
        <v>92</v>
      </c>
      <c r="Q229" s="215" t="s">
        <v>36</v>
      </c>
      <c r="R229" s="215" t="s">
        <v>36</v>
      </c>
      <c r="S229" s="215" t="s">
        <v>36</v>
      </c>
      <c r="T229" s="105">
        <f t="shared" si="11"/>
        <v>4.31015</v>
      </c>
      <c r="U229" s="105">
        <f t="shared" si="12"/>
        <v>0.310149999999999</v>
      </c>
    </row>
    <row r="230" spans="1:21">
      <c r="A230" s="213">
        <v>227</v>
      </c>
      <c r="B230" s="213" t="s">
        <v>22</v>
      </c>
      <c r="C230" s="214" t="s">
        <v>301</v>
      </c>
      <c r="D230" s="214" t="s">
        <v>307</v>
      </c>
      <c r="E230" s="213">
        <v>8819</v>
      </c>
      <c r="F230" s="214">
        <v>8797</v>
      </c>
      <c r="G230" s="215">
        <v>353</v>
      </c>
      <c r="H230" s="216">
        <v>307.7831</v>
      </c>
      <c r="I230" s="214">
        <v>307</v>
      </c>
      <c r="J230" s="214">
        <v>3</v>
      </c>
      <c r="K230" s="214">
        <v>2</v>
      </c>
      <c r="L230" s="217">
        <v>4</v>
      </c>
      <c r="M230" s="218">
        <v>0</v>
      </c>
      <c r="N230" s="217">
        <v>1</v>
      </c>
      <c r="O230" s="214"/>
      <c r="P230" s="213">
        <v>135</v>
      </c>
      <c r="Q230" s="215">
        <v>22</v>
      </c>
      <c r="R230" s="215" t="s">
        <v>25</v>
      </c>
      <c r="S230" s="215" t="s">
        <v>26</v>
      </c>
      <c r="T230" s="105">
        <f t="shared" si="11"/>
        <v>5.12971833333333</v>
      </c>
      <c r="U230" s="105">
        <f t="shared" si="12"/>
        <v>0.129718333333334</v>
      </c>
    </row>
    <row r="231" spans="1:21">
      <c r="A231" s="213">
        <v>228</v>
      </c>
      <c r="B231" s="213" t="s">
        <v>22</v>
      </c>
      <c r="C231" s="214" t="s">
        <v>301</v>
      </c>
      <c r="D231" s="214" t="s">
        <v>308</v>
      </c>
      <c r="E231" s="213">
        <v>11724</v>
      </c>
      <c r="F231" s="214">
        <v>12321</v>
      </c>
      <c r="G231" s="215">
        <v>469</v>
      </c>
      <c r="H231" s="216">
        <v>409.1676</v>
      </c>
      <c r="I231" s="214">
        <v>430</v>
      </c>
      <c r="J231" s="214">
        <v>3</v>
      </c>
      <c r="K231" s="214">
        <v>2</v>
      </c>
      <c r="L231" s="217">
        <v>6</v>
      </c>
      <c r="M231" s="218">
        <v>2</v>
      </c>
      <c r="N231" s="217">
        <v>0</v>
      </c>
      <c r="O231" s="214"/>
      <c r="P231" s="213">
        <v>50</v>
      </c>
      <c r="Q231" s="215" t="s">
        <v>36</v>
      </c>
      <c r="R231" s="215" t="s">
        <v>36</v>
      </c>
      <c r="S231" s="215" t="s">
        <v>36</v>
      </c>
      <c r="T231" s="105">
        <f t="shared" si="11"/>
        <v>6.81946</v>
      </c>
      <c r="U231" s="105">
        <f t="shared" si="12"/>
        <v>-1.18054</v>
      </c>
    </row>
    <row r="232" spans="1:21">
      <c r="A232" s="213">
        <v>229</v>
      </c>
      <c r="B232" s="213" t="s">
        <v>22</v>
      </c>
      <c r="C232" s="214" t="s">
        <v>301</v>
      </c>
      <c r="D232" s="214" t="s">
        <v>309</v>
      </c>
      <c r="E232" s="213">
        <v>5979</v>
      </c>
      <c r="F232" s="214">
        <v>5845</v>
      </c>
      <c r="G232" s="215">
        <v>239</v>
      </c>
      <c r="H232" s="216">
        <v>208.6671</v>
      </c>
      <c r="I232" s="214">
        <v>204</v>
      </c>
      <c r="J232" s="214">
        <v>2</v>
      </c>
      <c r="K232" s="214">
        <v>2</v>
      </c>
      <c r="L232" s="217">
        <v>4</v>
      </c>
      <c r="M232" s="218">
        <v>0</v>
      </c>
      <c r="N232" s="217">
        <v>0</v>
      </c>
      <c r="O232" s="214"/>
      <c r="P232" s="213">
        <v>80</v>
      </c>
      <c r="Q232" s="215">
        <v>10</v>
      </c>
      <c r="R232" s="215" t="s">
        <v>25</v>
      </c>
      <c r="S232" s="215" t="s">
        <v>26</v>
      </c>
      <c r="T232" s="105">
        <f t="shared" si="11"/>
        <v>3.477785</v>
      </c>
      <c r="U232" s="105">
        <f t="shared" si="12"/>
        <v>-0.522215</v>
      </c>
    </row>
    <row r="233" spans="1:21">
      <c r="A233" s="213">
        <v>230</v>
      </c>
      <c r="B233" s="213" t="s">
        <v>22</v>
      </c>
      <c r="C233" s="214" t="s">
        <v>301</v>
      </c>
      <c r="D233" s="214" t="s">
        <v>310</v>
      </c>
      <c r="E233" s="213">
        <v>7175</v>
      </c>
      <c r="F233" s="214">
        <v>7966</v>
      </c>
      <c r="G233" s="215">
        <v>192</v>
      </c>
      <c r="H233" s="216">
        <v>250.4075</v>
      </c>
      <c r="I233" s="214">
        <v>278</v>
      </c>
      <c r="J233" s="214">
        <v>5</v>
      </c>
      <c r="K233" s="214">
        <v>2</v>
      </c>
      <c r="L233" s="217">
        <v>4</v>
      </c>
      <c r="M233" s="218">
        <v>0</v>
      </c>
      <c r="N233" s="217">
        <v>0</v>
      </c>
      <c r="O233" s="214"/>
      <c r="P233" s="213">
        <v>114</v>
      </c>
      <c r="Q233" s="215">
        <v>25</v>
      </c>
      <c r="R233" s="215" t="s">
        <v>25</v>
      </c>
      <c r="S233" s="215" t="s">
        <v>26</v>
      </c>
      <c r="T233" s="105">
        <f t="shared" si="11"/>
        <v>4.17345833333333</v>
      </c>
      <c r="U233" s="105">
        <f t="shared" si="12"/>
        <v>0.173458333333333</v>
      </c>
    </row>
    <row r="234" spans="1:21">
      <c r="A234" s="213">
        <v>231</v>
      </c>
      <c r="B234" s="213" t="s">
        <v>22</v>
      </c>
      <c r="C234" s="214" t="s">
        <v>301</v>
      </c>
      <c r="D234" s="214" t="s">
        <v>311</v>
      </c>
      <c r="E234" s="213">
        <v>4799</v>
      </c>
      <c r="F234" s="214">
        <v>5759</v>
      </c>
      <c r="G234" s="215">
        <v>287</v>
      </c>
      <c r="H234" s="216">
        <v>167.4851</v>
      </c>
      <c r="I234" s="214">
        <v>201</v>
      </c>
      <c r="J234" s="214">
        <v>2</v>
      </c>
      <c r="K234" s="214"/>
      <c r="L234" s="217">
        <v>6</v>
      </c>
      <c r="M234" s="218">
        <v>2</v>
      </c>
      <c r="N234" s="217">
        <v>1</v>
      </c>
      <c r="O234" s="214"/>
      <c r="P234" s="213">
        <v>132</v>
      </c>
      <c r="Q234" s="215">
        <v>12</v>
      </c>
      <c r="R234" s="215" t="s">
        <v>25</v>
      </c>
      <c r="S234" s="215" t="s">
        <v>26</v>
      </c>
      <c r="T234" s="105">
        <f t="shared" si="11"/>
        <v>2.79141833333333</v>
      </c>
      <c r="U234" s="105">
        <f t="shared" si="12"/>
        <v>-6.20858166666667</v>
      </c>
    </row>
    <row r="235" spans="1:21">
      <c r="A235" s="213">
        <v>232</v>
      </c>
      <c r="B235" s="213" t="s">
        <v>22</v>
      </c>
      <c r="C235" s="214" t="s">
        <v>301</v>
      </c>
      <c r="D235" s="214" t="s">
        <v>312</v>
      </c>
      <c r="E235" s="213">
        <v>9261</v>
      </c>
      <c r="F235" s="214">
        <v>8596</v>
      </c>
      <c r="G235" s="215">
        <v>371</v>
      </c>
      <c r="H235" s="216">
        <v>323.2089</v>
      </c>
      <c r="I235" s="214">
        <v>300</v>
      </c>
      <c r="J235" s="214">
        <v>3</v>
      </c>
      <c r="K235" s="214">
        <v>2</v>
      </c>
      <c r="L235" s="217">
        <v>4</v>
      </c>
      <c r="M235" s="218">
        <v>0</v>
      </c>
      <c r="N235" s="217">
        <v>0</v>
      </c>
      <c r="O235" s="214"/>
      <c r="P235" s="213">
        <v>12</v>
      </c>
      <c r="Q235" s="215">
        <v>5</v>
      </c>
      <c r="R235" s="215" t="s">
        <v>25</v>
      </c>
      <c r="S235" s="215" t="s">
        <v>26</v>
      </c>
      <c r="T235" s="105">
        <f t="shared" si="11"/>
        <v>5.386815</v>
      </c>
      <c r="U235" s="105">
        <f t="shared" si="12"/>
        <v>1.386815</v>
      </c>
    </row>
    <row r="236" spans="1:21">
      <c r="A236" s="213">
        <v>233</v>
      </c>
      <c r="B236" s="213" t="s">
        <v>22</v>
      </c>
      <c r="C236" s="214" t="s">
        <v>301</v>
      </c>
      <c r="D236" s="214" t="s">
        <v>313</v>
      </c>
      <c r="E236" s="213">
        <v>4661</v>
      </c>
      <c r="F236" s="214">
        <v>5272</v>
      </c>
      <c r="G236" s="215">
        <v>186</v>
      </c>
      <c r="H236" s="216">
        <v>162.6689</v>
      </c>
      <c r="I236" s="214">
        <v>184</v>
      </c>
      <c r="J236" s="214">
        <v>3</v>
      </c>
      <c r="K236" s="214">
        <v>2</v>
      </c>
      <c r="L236" s="217">
        <v>4</v>
      </c>
      <c r="M236" s="218">
        <v>0</v>
      </c>
      <c r="N236" s="217">
        <v>0</v>
      </c>
      <c r="O236" s="214"/>
      <c r="P236" s="213">
        <v>25</v>
      </c>
      <c r="Q236" s="215" t="s">
        <v>36</v>
      </c>
      <c r="R236" s="215" t="s">
        <v>25</v>
      </c>
      <c r="S236" s="215" t="s">
        <v>26</v>
      </c>
      <c r="T236" s="105">
        <f t="shared" si="11"/>
        <v>2.71114833333333</v>
      </c>
      <c r="U236" s="105">
        <f t="shared" si="12"/>
        <v>-1.28885166666667</v>
      </c>
    </row>
    <row r="237" spans="1:21">
      <c r="A237" s="213">
        <v>234</v>
      </c>
      <c r="B237" s="213" t="s">
        <v>22</v>
      </c>
      <c r="C237" s="214" t="s">
        <v>301</v>
      </c>
      <c r="D237" s="214" t="s">
        <v>314</v>
      </c>
      <c r="E237" s="213">
        <v>7069</v>
      </c>
      <c r="F237" s="214">
        <v>10115</v>
      </c>
      <c r="G237" s="215">
        <v>283</v>
      </c>
      <c r="H237" s="216">
        <v>246.7081</v>
      </c>
      <c r="I237" s="214">
        <v>353</v>
      </c>
      <c r="J237" s="214">
        <v>2</v>
      </c>
      <c r="K237" s="214">
        <v>2</v>
      </c>
      <c r="L237" s="217">
        <v>4</v>
      </c>
      <c r="M237" s="218">
        <v>0</v>
      </c>
      <c r="N237" s="217">
        <v>1</v>
      </c>
      <c r="O237" s="214"/>
      <c r="P237" s="213">
        <v>128</v>
      </c>
      <c r="Q237" s="215" t="s">
        <v>36</v>
      </c>
      <c r="R237" s="215" t="s">
        <v>36</v>
      </c>
      <c r="S237" s="215" t="s">
        <v>36</v>
      </c>
      <c r="T237" s="105">
        <f t="shared" si="11"/>
        <v>4.11180166666667</v>
      </c>
      <c r="U237" s="105">
        <f t="shared" si="12"/>
        <v>-0.888198333333333</v>
      </c>
    </row>
    <row r="238" spans="1:21">
      <c r="A238" s="213">
        <v>235</v>
      </c>
      <c r="B238" s="213" t="s">
        <v>22</v>
      </c>
      <c r="C238" s="214" t="s">
        <v>301</v>
      </c>
      <c r="D238" s="214" t="s">
        <v>315</v>
      </c>
      <c r="E238" s="213">
        <v>13079</v>
      </c>
      <c r="F238" s="214">
        <v>21404</v>
      </c>
      <c r="G238" s="215">
        <v>523</v>
      </c>
      <c r="H238" s="216">
        <v>456.4571</v>
      </c>
      <c r="I238" s="214">
        <v>747</v>
      </c>
      <c r="J238" s="214">
        <v>3</v>
      </c>
      <c r="K238" s="214">
        <v>2</v>
      </c>
      <c r="L238" s="217">
        <v>6</v>
      </c>
      <c r="M238" s="218">
        <v>2</v>
      </c>
      <c r="N238" s="217">
        <v>1</v>
      </c>
      <c r="O238" s="214"/>
      <c r="P238" s="213">
        <v>90</v>
      </c>
      <c r="Q238" s="215">
        <v>10</v>
      </c>
      <c r="R238" s="215" t="s">
        <v>25</v>
      </c>
      <c r="S238" s="215" t="s">
        <v>26</v>
      </c>
      <c r="T238" s="105">
        <f t="shared" si="11"/>
        <v>7.60761833333333</v>
      </c>
      <c r="U238" s="105">
        <f t="shared" si="12"/>
        <v>-1.39238166666667</v>
      </c>
    </row>
    <row r="239" spans="1:21">
      <c r="A239" s="213">
        <v>236</v>
      </c>
      <c r="B239" s="213" t="s">
        <v>22</v>
      </c>
      <c r="C239" s="214" t="s">
        <v>301</v>
      </c>
      <c r="D239" s="214" t="s">
        <v>316</v>
      </c>
      <c r="E239" s="213">
        <v>4943</v>
      </c>
      <c r="F239" s="214">
        <v>4900</v>
      </c>
      <c r="G239" s="215">
        <v>198</v>
      </c>
      <c r="H239" s="216">
        <v>172.5107</v>
      </c>
      <c r="I239" s="214">
        <v>171</v>
      </c>
      <c r="J239" s="214">
        <v>3</v>
      </c>
      <c r="K239" s="214">
        <v>2</v>
      </c>
      <c r="L239" s="217">
        <v>4</v>
      </c>
      <c r="M239" s="218">
        <v>0</v>
      </c>
      <c r="N239" s="217">
        <v>0</v>
      </c>
      <c r="O239" s="214"/>
      <c r="P239" s="213">
        <v>122</v>
      </c>
      <c r="Q239" s="215">
        <v>12</v>
      </c>
      <c r="R239" s="215" t="s">
        <v>25</v>
      </c>
      <c r="S239" s="215" t="s">
        <v>26</v>
      </c>
      <c r="T239" s="105">
        <f t="shared" si="11"/>
        <v>2.87517833333333</v>
      </c>
      <c r="U239" s="105">
        <f t="shared" si="12"/>
        <v>-1.12482166666667</v>
      </c>
    </row>
    <row r="240" spans="1:21">
      <c r="A240" s="213">
        <v>237</v>
      </c>
      <c r="B240" s="213" t="s">
        <v>22</v>
      </c>
      <c r="C240" s="214" t="s">
        <v>301</v>
      </c>
      <c r="D240" s="214" t="s">
        <v>317</v>
      </c>
      <c r="E240" s="213">
        <v>17098</v>
      </c>
      <c r="F240" s="214">
        <v>32550</v>
      </c>
      <c r="G240" s="215">
        <v>684</v>
      </c>
      <c r="H240" s="216">
        <v>596.7202</v>
      </c>
      <c r="I240" s="214">
        <v>1136</v>
      </c>
      <c r="J240" s="214">
        <v>3</v>
      </c>
      <c r="K240" s="214">
        <v>2</v>
      </c>
      <c r="L240" s="217">
        <v>6</v>
      </c>
      <c r="M240" s="217">
        <v>2</v>
      </c>
      <c r="N240" s="217">
        <v>0</v>
      </c>
      <c r="O240" s="214"/>
      <c r="P240" s="213">
        <v>0</v>
      </c>
      <c r="Q240" s="215">
        <v>18</v>
      </c>
      <c r="R240" s="215" t="s">
        <v>25</v>
      </c>
      <c r="S240" s="215" t="s">
        <v>26</v>
      </c>
      <c r="T240" s="105">
        <f t="shared" si="11"/>
        <v>9.94533666666667</v>
      </c>
      <c r="U240" s="105">
        <f t="shared" si="12"/>
        <v>1.94533666666667</v>
      </c>
    </row>
    <row r="241" spans="1:21">
      <c r="A241" s="213">
        <v>238</v>
      </c>
      <c r="B241" s="213" t="s">
        <v>22</v>
      </c>
      <c r="C241" s="214" t="s">
        <v>301</v>
      </c>
      <c r="D241" s="214" t="s">
        <v>318</v>
      </c>
      <c r="E241" s="213">
        <v>9388</v>
      </c>
      <c r="F241" s="214">
        <v>8797</v>
      </c>
      <c r="G241" s="215">
        <v>265</v>
      </c>
      <c r="H241" s="216">
        <v>327.6412</v>
      </c>
      <c r="I241" s="214">
        <v>307</v>
      </c>
      <c r="J241" s="214">
        <v>2</v>
      </c>
      <c r="K241" s="214">
        <v>2</v>
      </c>
      <c r="L241" s="217">
        <v>4</v>
      </c>
      <c r="M241" s="218">
        <v>0</v>
      </c>
      <c r="N241" s="217">
        <v>0</v>
      </c>
      <c r="O241" s="214"/>
      <c r="P241" s="213">
        <v>110</v>
      </c>
      <c r="Q241" s="215">
        <v>20</v>
      </c>
      <c r="R241" s="215" t="s">
        <v>25</v>
      </c>
      <c r="S241" s="215" t="s">
        <v>26</v>
      </c>
      <c r="T241" s="105">
        <f t="shared" si="11"/>
        <v>5.46068666666667</v>
      </c>
      <c r="U241" s="105">
        <f t="shared" si="12"/>
        <v>1.46068666666667</v>
      </c>
    </row>
    <row r="242" spans="1:21">
      <c r="A242" s="213">
        <v>239</v>
      </c>
      <c r="B242" s="213" t="s">
        <v>22</v>
      </c>
      <c r="C242" s="214" t="s">
        <v>301</v>
      </c>
      <c r="D242" s="214" t="s">
        <v>319</v>
      </c>
      <c r="E242" s="213">
        <v>6636</v>
      </c>
      <c r="F242" s="214">
        <v>6132</v>
      </c>
      <c r="G242" s="215">
        <v>376</v>
      </c>
      <c r="H242" s="216">
        <v>231.5964</v>
      </c>
      <c r="I242" s="214">
        <v>214</v>
      </c>
      <c r="J242" s="214">
        <v>3</v>
      </c>
      <c r="K242" s="214">
        <v>2</v>
      </c>
      <c r="L242" s="217">
        <v>4</v>
      </c>
      <c r="M242" s="218">
        <v>0</v>
      </c>
      <c r="N242" s="217">
        <v>0</v>
      </c>
      <c r="O242" s="214"/>
      <c r="P242" s="213">
        <v>60</v>
      </c>
      <c r="Q242" s="215">
        <v>22</v>
      </c>
      <c r="R242" s="215" t="s">
        <v>25</v>
      </c>
      <c r="S242" s="215" t="s">
        <v>26</v>
      </c>
      <c r="T242" s="105">
        <f t="shared" si="11"/>
        <v>3.85994</v>
      </c>
      <c r="U242" s="105">
        <f t="shared" si="12"/>
        <v>-0.14006</v>
      </c>
    </row>
    <row r="243" spans="1:21">
      <c r="A243" s="213">
        <v>240</v>
      </c>
      <c r="B243" s="213" t="s">
        <v>22</v>
      </c>
      <c r="C243" s="214" t="s">
        <v>301</v>
      </c>
      <c r="D243" s="214" t="s">
        <v>320</v>
      </c>
      <c r="E243" s="213">
        <v>4257</v>
      </c>
      <c r="F243" s="214">
        <v>3954</v>
      </c>
      <c r="G243" s="215">
        <v>170</v>
      </c>
      <c r="H243" s="216">
        <v>148.5693</v>
      </c>
      <c r="I243" s="214">
        <v>138</v>
      </c>
      <c r="J243" s="214">
        <v>2</v>
      </c>
      <c r="K243" s="214">
        <v>2</v>
      </c>
      <c r="L243" s="217">
        <v>4</v>
      </c>
      <c r="M243" s="218">
        <v>0</v>
      </c>
      <c r="N243" s="217">
        <v>0</v>
      </c>
      <c r="O243" s="214"/>
      <c r="P243" s="213">
        <v>12</v>
      </c>
      <c r="Q243" s="215">
        <v>23</v>
      </c>
      <c r="R243" s="215" t="s">
        <v>25</v>
      </c>
      <c r="S243" s="215" t="s">
        <v>26</v>
      </c>
      <c r="T243" s="105">
        <f t="shared" si="11"/>
        <v>2.476155</v>
      </c>
      <c r="U243" s="105">
        <f t="shared" si="12"/>
        <v>-1.523845</v>
      </c>
    </row>
    <row r="244" spans="1:21">
      <c r="A244" s="213">
        <v>241</v>
      </c>
      <c r="B244" s="213" t="s">
        <v>22</v>
      </c>
      <c r="C244" s="214" t="s">
        <v>301</v>
      </c>
      <c r="D244" s="214" t="s">
        <v>321</v>
      </c>
      <c r="E244" s="213">
        <v>11011</v>
      </c>
      <c r="F244" s="214">
        <v>21805</v>
      </c>
      <c r="G244" s="215">
        <v>441</v>
      </c>
      <c r="H244" s="216">
        <v>384.2839</v>
      </c>
      <c r="I244" s="214">
        <v>761</v>
      </c>
      <c r="J244" s="214">
        <v>3</v>
      </c>
      <c r="K244" s="214">
        <v>2</v>
      </c>
      <c r="L244" s="217">
        <v>6</v>
      </c>
      <c r="M244" s="218">
        <v>2</v>
      </c>
      <c r="N244" s="217">
        <v>1</v>
      </c>
      <c r="O244" s="214"/>
      <c r="P244" s="213">
        <v>110</v>
      </c>
      <c r="Q244" s="215">
        <v>18</v>
      </c>
      <c r="R244" s="215" t="s">
        <v>25</v>
      </c>
      <c r="S244" s="215" t="s">
        <v>26</v>
      </c>
      <c r="T244" s="105">
        <f t="shared" si="11"/>
        <v>6.40473166666667</v>
      </c>
      <c r="U244" s="105">
        <f t="shared" si="12"/>
        <v>-2.59526833333333</v>
      </c>
    </row>
    <row r="245" spans="1:21">
      <c r="A245" s="213">
        <v>242</v>
      </c>
      <c r="B245" s="213" t="s">
        <v>22</v>
      </c>
      <c r="C245" s="214" t="s">
        <v>301</v>
      </c>
      <c r="D245" s="214" t="s">
        <v>322</v>
      </c>
      <c r="E245" s="213">
        <v>4408</v>
      </c>
      <c r="F245" s="214">
        <v>5358</v>
      </c>
      <c r="G245" s="215">
        <v>176</v>
      </c>
      <c r="H245" s="216">
        <v>153.8392</v>
      </c>
      <c r="I245" s="214">
        <v>187</v>
      </c>
      <c r="J245" s="214">
        <v>3</v>
      </c>
      <c r="K245" s="214">
        <v>2</v>
      </c>
      <c r="L245" s="217">
        <v>4</v>
      </c>
      <c r="M245" s="218">
        <v>0</v>
      </c>
      <c r="N245" s="217">
        <v>1</v>
      </c>
      <c r="O245" s="214"/>
      <c r="P245" s="213">
        <v>150</v>
      </c>
      <c r="Q245" s="215">
        <v>10</v>
      </c>
      <c r="R245" s="215" t="s">
        <v>25</v>
      </c>
      <c r="S245" s="215" t="s">
        <v>26</v>
      </c>
      <c r="T245" s="105">
        <f t="shared" si="11"/>
        <v>2.56398666666667</v>
      </c>
      <c r="U245" s="105">
        <f t="shared" si="12"/>
        <v>-2.43601333333333</v>
      </c>
    </row>
    <row r="246" spans="1:21">
      <c r="A246" s="213">
        <v>243</v>
      </c>
      <c r="B246" s="213" t="s">
        <v>22</v>
      </c>
      <c r="C246" s="214" t="s">
        <v>301</v>
      </c>
      <c r="D246" s="214" t="s">
        <v>323</v>
      </c>
      <c r="E246" s="213">
        <v>4757</v>
      </c>
      <c r="F246" s="214">
        <v>4842</v>
      </c>
      <c r="G246" s="215">
        <v>190</v>
      </c>
      <c r="H246" s="216">
        <v>166.0193</v>
      </c>
      <c r="I246" s="214">
        <v>169</v>
      </c>
      <c r="J246" s="214">
        <v>3</v>
      </c>
      <c r="K246" s="214"/>
      <c r="L246" s="217">
        <v>4</v>
      </c>
      <c r="M246" s="218">
        <v>0</v>
      </c>
      <c r="N246" s="217">
        <v>0</v>
      </c>
      <c r="O246" s="214"/>
      <c r="P246" s="213">
        <v>75</v>
      </c>
      <c r="Q246" s="215">
        <v>5</v>
      </c>
      <c r="R246" s="215" t="s">
        <v>25</v>
      </c>
      <c r="S246" s="215" t="s">
        <v>26</v>
      </c>
      <c r="T246" s="105">
        <f t="shared" si="11"/>
        <v>2.76698833333333</v>
      </c>
      <c r="U246" s="105">
        <f t="shared" si="12"/>
        <v>-1.23301166666667</v>
      </c>
    </row>
    <row r="247" spans="1:21">
      <c r="A247" s="213">
        <v>244</v>
      </c>
      <c r="B247" s="213" t="s">
        <v>22</v>
      </c>
      <c r="C247" s="214" t="s">
        <v>301</v>
      </c>
      <c r="D247" s="214" t="s">
        <v>324</v>
      </c>
      <c r="E247" s="213">
        <v>10956</v>
      </c>
      <c r="F247" s="214">
        <v>10000</v>
      </c>
      <c r="G247" s="215">
        <v>439</v>
      </c>
      <c r="H247" s="216">
        <v>382.3644</v>
      </c>
      <c r="I247" s="214">
        <v>349</v>
      </c>
      <c r="J247" s="214">
        <v>3</v>
      </c>
      <c r="K247" s="214">
        <v>2</v>
      </c>
      <c r="L247" s="217">
        <v>10</v>
      </c>
      <c r="M247" s="218">
        <v>0</v>
      </c>
      <c r="N247" s="217">
        <v>0</v>
      </c>
      <c r="O247" s="214"/>
      <c r="P247" s="213">
        <v>80</v>
      </c>
      <c r="Q247" s="215" t="s">
        <v>36</v>
      </c>
      <c r="R247" s="215" t="s">
        <v>25</v>
      </c>
      <c r="S247" s="215" t="s">
        <v>26</v>
      </c>
      <c r="T247" s="105">
        <f t="shared" si="11"/>
        <v>6.37274</v>
      </c>
      <c r="U247" s="105">
        <f t="shared" si="12"/>
        <v>-3.62726</v>
      </c>
    </row>
    <row r="248" spans="1:21">
      <c r="A248" s="213">
        <v>245</v>
      </c>
      <c r="B248" s="213" t="s">
        <v>22</v>
      </c>
      <c r="C248" s="214" t="s">
        <v>301</v>
      </c>
      <c r="D248" s="214" t="s">
        <v>325</v>
      </c>
      <c r="E248" s="213">
        <v>10037</v>
      </c>
      <c r="F248" s="214">
        <v>19398</v>
      </c>
      <c r="G248" s="215">
        <v>402</v>
      </c>
      <c r="H248" s="216">
        <v>350.2913</v>
      </c>
      <c r="I248" s="214">
        <v>677</v>
      </c>
      <c r="J248" s="214">
        <v>2</v>
      </c>
      <c r="K248" s="214">
        <v>2</v>
      </c>
      <c r="L248" s="217">
        <v>6</v>
      </c>
      <c r="M248" s="218">
        <v>2</v>
      </c>
      <c r="N248" s="217">
        <v>1</v>
      </c>
      <c r="O248" s="214"/>
      <c r="P248" s="213">
        <v>50</v>
      </c>
      <c r="Q248" s="215" t="s">
        <v>36</v>
      </c>
      <c r="R248" s="215" t="s">
        <v>36</v>
      </c>
      <c r="S248" s="215" t="s">
        <v>36</v>
      </c>
      <c r="T248" s="105">
        <f t="shared" si="11"/>
        <v>5.83818833333333</v>
      </c>
      <c r="U248" s="105">
        <f t="shared" si="12"/>
        <v>-3.16181166666667</v>
      </c>
    </row>
    <row r="249" spans="1:21">
      <c r="A249" s="213">
        <v>246</v>
      </c>
      <c r="B249" s="213" t="s">
        <v>22</v>
      </c>
      <c r="C249" s="214" t="s">
        <v>301</v>
      </c>
      <c r="D249" s="214" t="s">
        <v>326</v>
      </c>
      <c r="E249" s="213">
        <v>7870</v>
      </c>
      <c r="F249" s="214">
        <v>12837</v>
      </c>
      <c r="G249" s="215">
        <v>315</v>
      </c>
      <c r="H249" s="216">
        <v>274.663</v>
      </c>
      <c r="I249" s="214">
        <v>448</v>
      </c>
      <c r="J249" s="214">
        <v>3</v>
      </c>
      <c r="K249" s="214">
        <v>2</v>
      </c>
      <c r="L249" s="217">
        <v>6</v>
      </c>
      <c r="M249" s="218">
        <v>2</v>
      </c>
      <c r="N249" s="217">
        <v>1</v>
      </c>
      <c r="O249" s="214"/>
      <c r="P249" s="213">
        <v>50</v>
      </c>
      <c r="Q249" s="215">
        <v>7</v>
      </c>
      <c r="R249" s="215" t="s">
        <v>25</v>
      </c>
      <c r="S249" s="215" t="s">
        <v>26</v>
      </c>
      <c r="T249" s="105">
        <f t="shared" si="11"/>
        <v>4.57771666666667</v>
      </c>
      <c r="U249" s="105">
        <f t="shared" si="12"/>
        <v>-4.42228333333333</v>
      </c>
    </row>
    <row r="250" hidden="1" spans="1:21">
      <c r="A250" s="213"/>
      <c r="B250" s="213"/>
      <c r="C250" s="213"/>
      <c r="D250" s="214"/>
      <c r="E250" s="213"/>
      <c r="F250" s="213"/>
      <c r="G250" s="221"/>
      <c r="H250" s="216"/>
      <c r="I250" s="213"/>
      <c r="J250" s="213"/>
      <c r="K250" s="213"/>
      <c r="L250" s="213"/>
      <c r="M250" s="213"/>
      <c r="N250" s="213"/>
      <c r="O250" s="213"/>
      <c r="P250" s="213"/>
      <c r="Q250" s="213"/>
      <c r="R250" s="213"/>
      <c r="S250" s="213"/>
    </row>
    <row r="251" spans="1:21">
      <c r="A251" s="213">
        <v>248</v>
      </c>
      <c r="B251" s="213" t="s">
        <v>22</v>
      </c>
      <c r="C251" s="214" t="s">
        <v>327</v>
      </c>
      <c r="D251" s="214" t="s">
        <v>328</v>
      </c>
      <c r="E251" s="213">
        <v>9767</v>
      </c>
      <c r="F251" s="214">
        <v>14756</v>
      </c>
      <c r="G251" s="219">
        <v>390</v>
      </c>
      <c r="H251" s="216">
        <v>340.8683</v>
      </c>
      <c r="I251" s="214">
        <v>515</v>
      </c>
      <c r="J251" s="214">
        <v>4</v>
      </c>
      <c r="K251" s="214">
        <v>2</v>
      </c>
      <c r="L251" s="221" t="s">
        <v>148</v>
      </c>
      <c r="M251" s="221" t="s">
        <v>148</v>
      </c>
      <c r="N251" s="221" t="s">
        <v>142</v>
      </c>
      <c r="O251" s="213"/>
      <c r="P251" s="215" t="s">
        <v>36</v>
      </c>
      <c r="Q251" s="215" t="s">
        <v>36</v>
      </c>
      <c r="R251" s="215" t="s">
        <v>36</v>
      </c>
      <c r="S251" s="215" t="s">
        <v>36</v>
      </c>
      <c r="T251" s="105">
        <f t="shared" ref="T251:T270" si="13">H251*5/25/12</f>
        <v>5.68113833333333</v>
      </c>
      <c r="U251" s="105">
        <f t="shared" ref="U251:U270" si="14">T251-L251-M251-N251-O251</f>
        <v>-2.31886166666667</v>
      </c>
    </row>
    <row r="252" spans="1:21">
      <c r="A252" s="213">
        <v>249</v>
      </c>
      <c r="B252" s="213" t="s">
        <v>22</v>
      </c>
      <c r="C252" s="214" t="s">
        <v>327</v>
      </c>
      <c r="D252" s="214" t="s">
        <v>329</v>
      </c>
      <c r="E252" s="213">
        <v>9721</v>
      </c>
      <c r="F252" s="214">
        <v>15272</v>
      </c>
      <c r="G252" s="219">
        <v>382</v>
      </c>
      <c r="H252" s="216">
        <v>339.2629</v>
      </c>
      <c r="I252" s="214">
        <v>533</v>
      </c>
      <c r="J252" s="214">
        <v>6</v>
      </c>
      <c r="K252" s="214">
        <v>2</v>
      </c>
      <c r="L252" s="221" t="s">
        <v>148</v>
      </c>
      <c r="M252" s="221" t="s">
        <v>148</v>
      </c>
      <c r="N252" s="221" t="s">
        <v>142</v>
      </c>
      <c r="O252" s="213"/>
      <c r="P252" s="215">
        <v>146</v>
      </c>
      <c r="Q252" s="215">
        <v>25</v>
      </c>
      <c r="R252" s="215" t="s">
        <v>25</v>
      </c>
      <c r="S252" s="215" t="s">
        <v>26</v>
      </c>
      <c r="T252" s="105">
        <f t="shared" si="13"/>
        <v>5.65438166666667</v>
      </c>
      <c r="U252" s="105">
        <f t="shared" si="14"/>
        <v>-2.34561833333333</v>
      </c>
    </row>
    <row r="253" spans="1:21">
      <c r="A253" s="213">
        <v>250</v>
      </c>
      <c r="B253" s="213" t="s">
        <v>22</v>
      </c>
      <c r="C253" s="214" t="s">
        <v>327</v>
      </c>
      <c r="D253" s="214" t="s">
        <v>330</v>
      </c>
      <c r="E253" s="213">
        <v>5804</v>
      </c>
      <c r="F253" s="214">
        <v>11375</v>
      </c>
      <c r="G253" s="219">
        <v>236</v>
      </c>
      <c r="H253" s="216">
        <v>202.5596</v>
      </c>
      <c r="I253" s="214">
        <v>397</v>
      </c>
      <c r="J253" s="214">
        <v>4</v>
      </c>
      <c r="K253" s="214">
        <v>2</v>
      </c>
      <c r="L253" s="221" t="s">
        <v>148</v>
      </c>
      <c r="M253" s="221" t="s">
        <v>331</v>
      </c>
      <c r="N253" s="221" t="s">
        <v>142</v>
      </c>
      <c r="O253" s="213"/>
      <c r="P253" s="215">
        <v>7</v>
      </c>
      <c r="Q253" s="215">
        <v>9</v>
      </c>
      <c r="R253" s="215" t="s">
        <v>25</v>
      </c>
      <c r="S253" s="215" t="s">
        <v>26</v>
      </c>
      <c r="T253" s="105">
        <f t="shared" si="13"/>
        <v>3.37599333333333</v>
      </c>
      <c r="U253" s="105">
        <f t="shared" si="14"/>
        <v>-2.62400666666667</v>
      </c>
    </row>
    <row r="254" spans="1:21">
      <c r="A254" s="213">
        <v>251</v>
      </c>
      <c r="B254" s="213" t="s">
        <v>22</v>
      </c>
      <c r="C254" s="214" t="s">
        <v>327</v>
      </c>
      <c r="D254" s="214" t="s">
        <v>332</v>
      </c>
      <c r="E254" s="213">
        <v>4909</v>
      </c>
      <c r="F254" s="214">
        <v>7335</v>
      </c>
      <c r="G254" s="219">
        <v>220</v>
      </c>
      <c r="H254" s="216">
        <v>171.3241</v>
      </c>
      <c r="I254" s="214">
        <v>256</v>
      </c>
      <c r="J254" s="214">
        <v>2</v>
      </c>
      <c r="K254" s="214">
        <v>2</v>
      </c>
      <c r="L254" s="221" t="s">
        <v>148</v>
      </c>
      <c r="M254" s="221" t="s">
        <v>331</v>
      </c>
      <c r="N254" s="221" t="s">
        <v>142</v>
      </c>
      <c r="O254" s="213"/>
      <c r="P254" s="215" t="s">
        <v>36</v>
      </c>
      <c r="Q254" s="215" t="s">
        <v>36</v>
      </c>
      <c r="R254" s="215" t="s">
        <v>36</v>
      </c>
      <c r="S254" s="215" t="s">
        <v>36</v>
      </c>
      <c r="T254" s="105">
        <f t="shared" si="13"/>
        <v>2.85540166666667</v>
      </c>
      <c r="U254" s="105">
        <f t="shared" si="14"/>
        <v>-3.14459833333333</v>
      </c>
    </row>
    <row r="255" spans="1:21">
      <c r="A255" s="213">
        <v>252</v>
      </c>
      <c r="B255" s="213" t="s">
        <v>22</v>
      </c>
      <c r="C255" s="214" t="s">
        <v>327</v>
      </c>
      <c r="D255" s="214" t="s">
        <v>333</v>
      </c>
      <c r="E255" s="213">
        <v>6345</v>
      </c>
      <c r="F255" s="214">
        <v>8739</v>
      </c>
      <c r="G255" s="219">
        <v>243</v>
      </c>
      <c r="H255" s="216">
        <v>221.4405</v>
      </c>
      <c r="I255" s="214">
        <v>305</v>
      </c>
      <c r="J255" s="214">
        <v>3</v>
      </c>
      <c r="K255" s="214">
        <v>2</v>
      </c>
      <c r="L255" s="221" t="s">
        <v>148</v>
      </c>
      <c r="M255" s="221" t="s">
        <v>331</v>
      </c>
      <c r="N255" s="221" t="s">
        <v>142</v>
      </c>
      <c r="O255" s="213"/>
      <c r="P255" s="215" t="s">
        <v>36</v>
      </c>
      <c r="Q255" s="215" t="s">
        <v>36</v>
      </c>
      <c r="R255" s="215" t="s">
        <v>36</v>
      </c>
      <c r="S255" s="215" t="s">
        <v>36</v>
      </c>
      <c r="T255" s="105">
        <f t="shared" si="13"/>
        <v>3.690675</v>
      </c>
      <c r="U255" s="105">
        <f t="shared" si="14"/>
        <v>-2.309325</v>
      </c>
    </row>
    <row r="256" spans="1:21">
      <c r="A256" s="213">
        <v>253</v>
      </c>
      <c r="B256" s="213" t="s">
        <v>22</v>
      </c>
      <c r="C256" s="214" t="s">
        <v>327</v>
      </c>
      <c r="D256" s="214" t="s">
        <v>334</v>
      </c>
      <c r="E256" s="213">
        <v>5567</v>
      </c>
      <c r="F256" s="214">
        <v>9398</v>
      </c>
      <c r="G256" s="219">
        <v>272</v>
      </c>
      <c r="H256" s="216">
        <v>194.2883</v>
      </c>
      <c r="I256" s="214">
        <v>328</v>
      </c>
      <c r="J256" s="214">
        <v>4</v>
      </c>
      <c r="K256" s="214">
        <v>2</v>
      </c>
      <c r="L256" s="221" t="s">
        <v>148</v>
      </c>
      <c r="M256" s="221" t="s">
        <v>148</v>
      </c>
      <c r="N256" s="221" t="s">
        <v>142</v>
      </c>
      <c r="O256" s="213"/>
      <c r="P256" s="215">
        <v>152</v>
      </c>
      <c r="Q256" s="215">
        <v>20</v>
      </c>
      <c r="R256" s="215" t="s">
        <v>25</v>
      </c>
      <c r="S256" s="215" t="s">
        <v>26</v>
      </c>
      <c r="T256" s="105">
        <f t="shared" si="13"/>
        <v>3.23813833333333</v>
      </c>
      <c r="U256" s="105">
        <f t="shared" si="14"/>
        <v>-4.76186166666667</v>
      </c>
    </row>
    <row r="257" spans="1:21">
      <c r="A257" s="213">
        <v>254</v>
      </c>
      <c r="B257" s="213" t="s">
        <v>22</v>
      </c>
      <c r="C257" s="214" t="s">
        <v>327</v>
      </c>
      <c r="D257" s="214" t="s">
        <v>335</v>
      </c>
      <c r="E257" s="213">
        <v>8965</v>
      </c>
      <c r="F257" s="214">
        <v>12407</v>
      </c>
      <c r="G257" s="219">
        <v>411</v>
      </c>
      <c r="H257" s="216">
        <v>312.8785</v>
      </c>
      <c r="I257" s="214">
        <v>433</v>
      </c>
      <c r="J257" s="214">
        <v>5</v>
      </c>
      <c r="K257" s="214">
        <v>2</v>
      </c>
      <c r="L257" s="221" t="s">
        <v>148</v>
      </c>
      <c r="M257" s="221" t="s">
        <v>331</v>
      </c>
      <c r="N257" s="221" t="s">
        <v>336</v>
      </c>
      <c r="O257" s="213"/>
      <c r="P257" s="215">
        <v>147</v>
      </c>
      <c r="Q257" s="215">
        <v>25</v>
      </c>
      <c r="R257" s="215" t="s">
        <v>25</v>
      </c>
      <c r="S257" s="215" t="s">
        <v>26</v>
      </c>
      <c r="T257" s="105">
        <f t="shared" si="13"/>
        <v>5.21464166666667</v>
      </c>
      <c r="U257" s="105">
        <f t="shared" si="14"/>
        <v>-1.78535833333333</v>
      </c>
    </row>
    <row r="258" ht="29" spans="1:21">
      <c r="A258" s="213">
        <v>255</v>
      </c>
      <c r="B258" s="213" t="s">
        <v>22</v>
      </c>
      <c r="C258" s="214" t="s">
        <v>327</v>
      </c>
      <c r="D258" s="214" t="s">
        <v>337</v>
      </c>
      <c r="E258" s="213">
        <v>6238</v>
      </c>
      <c r="F258" s="214">
        <v>9713</v>
      </c>
      <c r="G258" s="219">
        <v>266</v>
      </c>
      <c r="H258" s="216">
        <v>217.7062</v>
      </c>
      <c r="I258" s="214">
        <v>339</v>
      </c>
      <c r="J258" s="214">
        <v>4</v>
      </c>
      <c r="K258" s="214">
        <v>2</v>
      </c>
      <c r="L258" s="221" t="s">
        <v>148</v>
      </c>
      <c r="M258" s="221" t="s">
        <v>331</v>
      </c>
      <c r="N258" s="221" t="s">
        <v>336</v>
      </c>
      <c r="O258" s="213"/>
      <c r="P258" s="215">
        <v>201</v>
      </c>
      <c r="Q258" s="215">
        <v>10</v>
      </c>
      <c r="R258" s="215" t="s">
        <v>165</v>
      </c>
      <c r="S258" s="215" t="s">
        <v>26</v>
      </c>
      <c r="T258" s="105">
        <f t="shared" si="13"/>
        <v>3.62843666666667</v>
      </c>
      <c r="U258" s="105">
        <f t="shared" si="14"/>
        <v>-3.37156333333333</v>
      </c>
    </row>
    <row r="259" spans="1:21">
      <c r="A259" s="213">
        <v>256</v>
      </c>
      <c r="B259" s="213" t="s">
        <v>22</v>
      </c>
      <c r="C259" s="214" t="s">
        <v>327</v>
      </c>
      <c r="D259" s="214" t="s">
        <v>338</v>
      </c>
      <c r="E259" s="213">
        <v>6899</v>
      </c>
      <c r="F259" s="214">
        <v>10458</v>
      </c>
      <c r="G259" s="219">
        <v>270</v>
      </c>
      <c r="H259" s="216">
        <v>240.7751</v>
      </c>
      <c r="I259" s="214">
        <v>365</v>
      </c>
      <c r="J259" s="214">
        <v>3</v>
      </c>
      <c r="K259" s="214">
        <v>2</v>
      </c>
      <c r="L259" s="221" t="s">
        <v>148</v>
      </c>
      <c r="M259" s="221" t="s">
        <v>331</v>
      </c>
      <c r="N259" s="221" t="s">
        <v>142</v>
      </c>
      <c r="O259" s="213"/>
      <c r="P259" s="215">
        <v>87</v>
      </c>
      <c r="Q259" s="215">
        <v>9</v>
      </c>
      <c r="R259" s="215" t="s">
        <v>25</v>
      </c>
      <c r="S259" s="215" t="s">
        <v>26</v>
      </c>
      <c r="T259" s="105">
        <f t="shared" si="13"/>
        <v>4.01291833333333</v>
      </c>
      <c r="U259" s="105">
        <f t="shared" si="14"/>
        <v>-1.98708166666667</v>
      </c>
    </row>
    <row r="260" spans="1:21">
      <c r="A260" s="213">
        <v>257</v>
      </c>
      <c r="B260" s="213" t="s">
        <v>22</v>
      </c>
      <c r="C260" s="214" t="s">
        <v>327</v>
      </c>
      <c r="D260" s="214" t="s">
        <v>339</v>
      </c>
      <c r="E260" s="213">
        <v>9260</v>
      </c>
      <c r="F260" s="214">
        <v>11547</v>
      </c>
      <c r="G260" s="219">
        <v>418</v>
      </c>
      <c r="H260" s="216">
        <v>323.174</v>
      </c>
      <c r="I260" s="214">
        <v>403</v>
      </c>
      <c r="J260" s="214">
        <v>3</v>
      </c>
      <c r="K260" s="214">
        <v>2</v>
      </c>
      <c r="L260" s="221" t="s">
        <v>148</v>
      </c>
      <c r="M260" s="221" t="s">
        <v>148</v>
      </c>
      <c r="N260" s="221" t="s">
        <v>142</v>
      </c>
      <c r="O260" s="213"/>
      <c r="P260" s="215">
        <v>135</v>
      </c>
      <c r="Q260" s="215">
        <v>15</v>
      </c>
      <c r="R260" s="215" t="s">
        <v>25</v>
      </c>
      <c r="S260" s="215" t="s">
        <v>26</v>
      </c>
      <c r="T260" s="105">
        <f t="shared" si="13"/>
        <v>5.38623333333333</v>
      </c>
      <c r="U260" s="105">
        <f t="shared" si="14"/>
        <v>-2.61376666666667</v>
      </c>
    </row>
    <row r="261" spans="1:21">
      <c r="A261" s="213">
        <v>258</v>
      </c>
      <c r="B261" s="213" t="s">
        <v>22</v>
      </c>
      <c r="C261" s="214" t="s">
        <v>327</v>
      </c>
      <c r="D261" s="214" t="s">
        <v>340</v>
      </c>
      <c r="E261" s="213">
        <v>8037</v>
      </c>
      <c r="F261" s="214">
        <v>9857</v>
      </c>
      <c r="G261" s="219">
        <v>396</v>
      </c>
      <c r="H261" s="216">
        <v>280.4913</v>
      </c>
      <c r="I261" s="214">
        <v>344</v>
      </c>
      <c r="J261" s="214">
        <v>4</v>
      </c>
      <c r="K261" s="214">
        <v>2</v>
      </c>
      <c r="L261" s="221" t="s">
        <v>148</v>
      </c>
      <c r="M261" s="221" t="s">
        <v>141</v>
      </c>
      <c r="N261" s="221" t="s">
        <v>336</v>
      </c>
      <c r="O261" s="213"/>
      <c r="P261" s="215">
        <v>189</v>
      </c>
      <c r="Q261" s="215">
        <v>25</v>
      </c>
      <c r="R261" s="215" t="s">
        <v>25</v>
      </c>
      <c r="S261" s="215" t="s">
        <v>26</v>
      </c>
      <c r="T261" s="105">
        <f t="shared" si="13"/>
        <v>4.674855</v>
      </c>
      <c r="U261" s="105">
        <f t="shared" si="14"/>
        <v>-3.325145</v>
      </c>
    </row>
    <row r="262" spans="1:21">
      <c r="A262" s="213">
        <v>259</v>
      </c>
      <c r="B262" s="213" t="s">
        <v>22</v>
      </c>
      <c r="C262" s="214" t="s">
        <v>327</v>
      </c>
      <c r="D262" s="214" t="s">
        <v>341</v>
      </c>
      <c r="E262" s="213">
        <v>6859</v>
      </c>
      <c r="F262" s="214">
        <v>9570</v>
      </c>
      <c r="G262" s="219">
        <v>266</v>
      </c>
      <c r="H262" s="216">
        <v>239.3791</v>
      </c>
      <c r="I262" s="214">
        <v>334</v>
      </c>
      <c r="J262" s="214">
        <v>3</v>
      </c>
      <c r="K262" s="214">
        <v>2</v>
      </c>
      <c r="L262" s="221" t="s">
        <v>148</v>
      </c>
      <c r="M262" s="221" t="s">
        <v>148</v>
      </c>
      <c r="N262" s="221" t="s">
        <v>142</v>
      </c>
      <c r="O262" s="213"/>
      <c r="P262" s="215">
        <v>45</v>
      </c>
      <c r="Q262" s="215">
        <v>15</v>
      </c>
      <c r="R262" s="215" t="s">
        <v>25</v>
      </c>
      <c r="S262" s="215" t="s">
        <v>26</v>
      </c>
      <c r="T262" s="105">
        <f t="shared" si="13"/>
        <v>3.98965166666667</v>
      </c>
      <c r="U262" s="105">
        <f t="shared" si="14"/>
        <v>-4.01034833333333</v>
      </c>
    </row>
    <row r="263" spans="1:21">
      <c r="A263" s="213">
        <v>260</v>
      </c>
      <c r="B263" s="213" t="s">
        <v>22</v>
      </c>
      <c r="C263" s="214" t="s">
        <v>327</v>
      </c>
      <c r="D263" s="214" t="s">
        <v>342</v>
      </c>
      <c r="E263" s="213">
        <v>8308</v>
      </c>
      <c r="F263" s="214">
        <v>14126</v>
      </c>
      <c r="G263" s="219">
        <v>326</v>
      </c>
      <c r="H263" s="216">
        <v>289.9492</v>
      </c>
      <c r="I263" s="214">
        <v>493</v>
      </c>
      <c r="J263" s="214">
        <v>4</v>
      </c>
      <c r="K263" s="214">
        <v>2</v>
      </c>
      <c r="L263" s="221" t="s">
        <v>148</v>
      </c>
      <c r="M263" s="221" t="s">
        <v>331</v>
      </c>
      <c r="N263" s="221" t="s">
        <v>142</v>
      </c>
      <c r="O263" s="213"/>
      <c r="P263" s="215">
        <v>25</v>
      </c>
      <c r="Q263" s="215">
        <v>12</v>
      </c>
      <c r="R263" s="215" t="s">
        <v>25</v>
      </c>
      <c r="S263" s="215" t="s">
        <v>26</v>
      </c>
      <c r="T263" s="105">
        <f t="shared" si="13"/>
        <v>4.83248666666667</v>
      </c>
      <c r="U263" s="105">
        <f t="shared" si="14"/>
        <v>-1.16751333333333</v>
      </c>
    </row>
    <row r="264" spans="1:21">
      <c r="A264" s="213">
        <v>261</v>
      </c>
      <c r="B264" s="213" t="s">
        <v>22</v>
      </c>
      <c r="C264" s="214" t="s">
        <v>327</v>
      </c>
      <c r="D264" s="214" t="s">
        <v>343</v>
      </c>
      <c r="E264" s="213">
        <v>5906</v>
      </c>
      <c r="F264" s="214">
        <v>10860</v>
      </c>
      <c r="G264" s="219">
        <v>266</v>
      </c>
      <c r="H264" s="216">
        <v>206.1194</v>
      </c>
      <c r="I264" s="214">
        <v>379</v>
      </c>
      <c r="J264" s="214">
        <v>3</v>
      </c>
      <c r="K264" s="214">
        <v>2</v>
      </c>
      <c r="L264" s="221" t="s">
        <v>148</v>
      </c>
      <c r="M264" s="221" t="s">
        <v>148</v>
      </c>
      <c r="N264" s="221" t="s">
        <v>142</v>
      </c>
      <c r="O264" s="213"/>
      <c r="P264" s="215">
        <v>136</v>
      </c>
      <c r="Q264" s="215">
        <v>25</v>
      </c>
      <c r="R264" s="215" t="s">
        <v>25</v>
      </c>
      <c r="S264" s="215" t="s">
        <v>26</v>
      </c>
      <c r="T264" s="105">
        <f t="shared" si="13"/>
        <v>3.43532333333333</v>
      </c>
      <c r="U264" s="105">
        <f t="shared" si="14"/>
        <v>-4.56467666666667</v>
      </c>
    </row>
    <row r="265" spans="1:21">
      <c r="A265" s="213">
        <v>262</v>
      </c>
      <c r="B265" s="213" t="s">
        <v>22</v>
      </c>
      <c r="C265" s="214" t="s">
        <v>327</v>
      </c>
      <c r="D265" s="214" t="s">
        <v>344</v>
      </c>
      <c r="E265" s="213">
        <v>9932</v>
      </c>
      <c r="F265" s="214">
        <v>12550</v>
      </c>
      <c r="G265" s="219">
        <v>397</v>
      </c>
      <c r="H265" s="216">
        <v>346.6268</v>
      </c>
      <c r="I265" s="214">
        <v>438</v>
      </c>
      <c r="J265" s="214">
        <v>5</v>
      </c>
      <c r="K265" s="214">
        <v>2</v>
      </c>
      <c r="L265" s="221" t="s">
        <v>148</v>
      </c>
      <c r="M265" s="221" t="s">
        <v>141</v>
      </c>
      <c r="N265" s="221" t="s">
        <v>336</v>
      </c>
      <c r="O265" s="213"/>
      <c r="P265" s="215">
        <v>95</v>
      </c>
      <c r="Q265" s="215">
        <v>15</v>
      </c>
      <c r="R265" s="215" t="s">
        <v>25</v>
      </c>
      <c r="S265" s="215" t="s">
        <v>26</v>
      </c>
      <c r="T265" s="105">
        <f t="shared" si="13"/>
        <v>5.77711333333333</v>
      </c>
      <c r="U265" s="105">
        <f t="shared" si="14"/>
        <v>-2.22288666666667</v>
      </c>
    </row>
    <row r="266" spans="1:21">
      <c r="A266" s="213">
        <v>263</v>
      </c>
      <c r="B266" s="213" t="s">
        <v>22</v>
      </c>
      <c r="C266" s="214" t="s">
        <v>327</v>
      </c>
      <c r="D266" s="214" t="s">
        <v>345</v>
      </c>
      <c r="E266" s="213">
        <v>9423</v>
      </c>
      <c r="F266" s="214">
        <v>12321</v>
      </c>
      <c r="G266" s="219">
        <v>366</v>
      </c>
      <c r="H266" s="216">
        <v>328.8627</v>
      </c>
      <c r="I266" s="214">
        <v>430</v>
      </c>
      <c r="J266" s="214">
        <v>3</v>
      </c>
      <c r="K266" s="214">
        <v>2</v>
      </c>
      <c r="L266" s="221" t="s">
        <v>148</v>
      </c>
      <c r="M266" s="221" t="s">
        <v>148</v>
      </c>
      <c r="N266" s="221" t="s">
        <v>142</v>
      </c>
      <c r="O266" s="213"/>
      <c r="P266" s="215">
        <v>42</v>
      </c>
      <c r="Q266" s="215">
        <v>12</v>
      </c>
      <c r="R266" s="215" t="s">
        <v>25</v>
      </c>
      <c r="S266" s="215" t="s">
        <v>26</v>
      </c>
      <c r="T266" s="105">
        <f t="shared" si="13"/>
        <v>5.481045</v>
      </c>
      <c r="U266" s="105">
        <f t="shared" si="14"/>
        <v>-2.518955</v>
      </c>
    </row>
    <row r="267" spans="1:21">
      <c r="A267" s="213">
        <v>264</v>
      </c>
      <c r="B267" s="213" t="s">
        <v>22</v>
      </c>
      <c r="C267" s="214" t="s">
        <v>327</v>
      </c>
      <c r="D267" s="214" t="s">
        <v>346</v>
      </c>
      <c r="E267" s="213">
        <v>7895</v>
      </c>
      <c r="F267" s="214">
        <v>9857</v>
      </c>
      <c r="G267" s="219">
        <v>306</v>
      </c>
      <c r="H267" s="216">
        <v>275.5355</v>
      </c>
      <c r="I267" s="214">
        <v>344</v>
      </c>
      <c r="J267" s="214">
        <v>3</v>
      </c>
      <c r="K267" s="214">
        <v>2</v>
      </c>
      <c r="L267" s="221" t="s">
        <v>148</v>
      </c>
      <c r="M267" s="221" t="s">
        <v>141</v>
      </c>
      <c r="N267" s="221" t="s">
        <v>336</v>
      </c>
      <c r="O267" s="213"/>
      <c r="P267" s="215">
        <v>169</v>
      </c>
      <c r="Q267" s="215">
        <v>20</v>
      </c>
      <c r="R267" s="215" t="s">
        <v>25</v>
      </c>
      <c r="S267" s="215" t="s">
        <v>26</v>
      </c>
      <c r="T267" s="105">
        <f t="shared" si="13"/>
        <v>4.59225833333333</v>
      </c>
      <c r="U267" s="105">
        <f t="shared" si="14"/>
        <v>-3.40774166666667</v>
      </c>
    </row>
    <row r="268" spans="1:21">
      <c r="A268" s="213">
        <v>265</v>
      </c>
      <c r="B268" s="213" t="s">
        <v>22</v>
      </c>
      <c r="C268" s="214" t="s">
        <v>327</v>
      </c>
      <c r="D268" s="214" t="s">
        <v>347</v>
      </c>
      <c r="E268" s="213">
        <v>4994</v>
      </c>
      <c r="F268" s="214">
        <v>5559</v>
      </c>
      <c r="G268" s="219">
        <v>261</v>
      </c>
      <c r="H268" s="216">
        <v>174.2906</v>
      </c>
      <c r="I268" s="214">
        <v>194</v>
      </c>
      <c r="J268" s="214">
        <v>3</v>
      </c>
      <c r="K268" s="214">
        <v>2</v>
      </c>
      <c r="L268" s="221" t="s">
        <v>148</v>
      </c>
      <c r="M268" s="221" t="s">
        <v>331</v>
      </c>
      <c r="N268" s="221" t="s">
        <v>142</v>
      </c>
      <c r="O268" s="213"/>
      <c r="P268" s="215">
        <v>115</v>
      </c>
      <c r="Q268" s="215">
        <v>9</v>
      </c>
      <c r="R268" s="215" t="s">
        <v>25</v>
      </c>
      <c r="S268" s="215" t="s">
        <v>26</v>
      </c>
      <c r="T268" s="105">
        <f t="shared" si="13"/>
        <v>2.90484333333333</v>
      </c>
      <c r="U268" s="105">
        <f t="shared" si="14"/>
        <v>-3.09515666666667</v>
      </c>
    </row>
    <row r="269" spans="1:21">
      <c r="A269" s="213">
        <v>266</v>
      </c>
      <c r="B269" s="213" t="s">
        <v>22</v>
      </c>
      <c r="C269" s="214" t="s">
        <v>327</v>
      </c>
      <c r="D269" s="214" t="s">
        <v>348</v>
      </c>
      <c r="E269" s="213">
        <v>6106</v>
      </c>
      <c r="F269" s="214">
        <v>9169</v>
      </c>
      <c r="G269" s="219">
        <v>259</v>
      </c>
      <c r="H269" s="216">
        <v>213.0994</v>
      </c>
      <c r="I269" s="214">
        <v>320</v>
      </c>
      <c r="J269" s="214">
        <v>4</v>
      </c>
      <c r="K269" s="214">
        <v>2</v>
      </c>
      <c r="L269" s="221" t="s">
        <v>148</v>
      </c>
      <c r="M269" s="221" t="s">
        <v>331</v>
      </c>
      <c r="N269" s="221" t="s">
        <v>142</v>
      </c>
      <c r="O269" s="213"/>
      <c r="P269" s="215" t="s">
        <v>36</v>
      </c>
      <c r="Q269" s="215" t="s">
        <v>36</v>
      </c>
      <c r="R269" s="215" t="s">
        <v>25</v>
      </c>
      <c r="S269" s="215" t="s">
        <v>36</v>
      </c>
      <c r="T269" s="105">
        <f t="shared" si="13"/>
        <v>3.55165666666667</v>
      </c>
      <c r="U269" s="105">
        <f t="shared" si="14"/>
        <v>-2.44834333333333</v>
      </c>
    </row>
    <row r="270" spans="1:21">
      <c r="A270" s="213">
        <v>267</v>
      </c>
      <c r="B270" s="213" t="s">
        <v>22</v>
      </c>
      <c r="C270" s="214" t="s">
        <v>327</v>
      </c>
      <c r="D270" s="214" t="s">
        <v>349</v>
      </c>
      <c r="E270" s="213">
        <v>8933</v>
      </c>
      <c r="F270" s="214">
        <v>15530</v>
      </c>
      <c r="G270" s="219">
        <v>410</v>
      </c>
      <c r="H270" s="216">
        <v>311.7617</v>
      </c>
      <c r="I270" s="214">
        <v>542</v>
      </c>
      <c r="J270" s="214">
        <v>4</v>
      </c>
      <c r="K270" s="214">
        <v>2</v>
      </c>
      <c r="L270" s="221" t="s">
        <v>148</v>
      </c>
      <c r="M270" s="221" t="s">
        <v>141</v>
      </c>
      <c r="N270" s="221" t="s">
        <v>142</v>
      </c>
      <c r="O270" s="213"/>
      <c r="P270" s="215">
        <v>4</v>
      </c>
      <c r="Q270" s="215">
        <v>5</v>
      </c>
      <c r="R270" s="215" t="s">
        <v>25</v>
      </c>
      <c r="S270" s="215" t="s">
        <v>26</v>
      </c>
      <c r="T270" s="105">
        <f t="shared" si="13"/>
        <v>5.19602833333333</v>
      </c>
      <c r="U270" s="105">
        <f t="shared" si="14"/>
        <v>-1.80397166666667</v>
      </c>
    </row>
    <row r="271" hidden="1" spans="1:21">
      <c r="A271" s="213"/>
      <c r="B271" s="213"/>
      <c r="C271" s="213"/>
      <c r="D271" s="214"/>
      <c r="E271" s="213"/>
      <c r="F271" s="213"/>
      <c r="G271" s="221"/>
      <c r="H271" s="216"/>
      <c r="I271" s="213"/>
      <c r="J271" s="213"/>
      <c r="K271" s="213"/>
      <c r="L271" s="213"/>
      <c r="M271" s="213"/>
      <c r="N271" s="213"/>
      <c r="O271" s="213"/>
      <c r="P271" s="213"/>
      <c r="Q271" s="213"/>
      <c r="R271" s="213"/>
      <c r="S271" s="213"/>
    </row>
    <row r="272" hidden="1" spans="1:21">
      <c r="A272" s="213">
        <v>269</v>
      </c>
      <c r="B272" s="213" t="s">
        <v>137</v>
      </c>
      <c r="C272" s="214" t="s">
        <v>350</v>
      </c>
      <c r="D272" s="214" t="s">
        <v>351</v>
      </c>
      <c r="E272" s="213">
        <v>13169</v>
      </c>
      <c r="F272" s="214">
        <v>10888</v>
      </c>
      <c r="G272" s="222">
        <v>458</v>
      </c>
      <c r="H272" s="216">
        <v>459.5981</v>
      </c>
      <c r="I272" s="214">
        <v>380</v>
      </c>
      <c r="J272" s="214">
        <v>2</v>
      </c>
      <c r="K272" s="214">
        <v>2</v>
      </c>
      <c r="L272" s="223">
        <v>4</v>
      </c>
      <c r="M272" s="223">
        <v>3</v>
      </c>
      <c r="N272" s="223">
        <v>2</v>
      </c>
      <c r="O272" s="213"/>
      <c r="P272" s="214">
        <v>75</v>
      </c>
      <c r="Q272" s="215">
        <v>7</v>
      </c>
      <c r="R272" s="215" t="s">
        <v>25</v>
      </c>
      <c r="S272" s="215" t="s">
        <v>26</v>
      </c>
    </row>
    <row r="273" hidden="1" spans="1:19">
      <c r="A273" s="213">
        <v>270</v>
      </c>
      <c r="B273" s="213" t="s">
        <v>137</v>
      </c>
      <c r="C273" s="214" t="s">
        <v>350</v>
      </c>
      <c r="D273" s="214" t="s">
        <v>352</v>
      </c>
      <c r="E273" s="213">
        <v>12251</v>
      </c>
      <c r="F273" s="214">
        <v>9971</v>
      </c>
      <c r="G273" s="222">
        <v>427</v>
      </c>
      <c r="H273" s="216">
        <v>427.5599</v>
      </c>
      <c r="I273" s="214">
        <v>348</v>
      </c>
      <c r="J273" s="214">
        <v>3</v>
      </c>
      <c r="K273" s="214">
        <v>2</v>
      </c>
      <c r="L273" s="223">
        <v>4</v>
      </c>
      <c r="M273" s="223">
        <v>1</v>
      </c>
      <c r="N273" s="223">
        <v>0</v>
      </c>
      <c r="O273" s="213"/>
      <c r="P273" s="214">
        <v>84</v>
      </c>
      <c r="Q273" s="215">
        <v>5</v>
      </c>
      <c r="R273" s="215" t="s">
        <v>25</v>
      </c>
      <c r="S273" s="215" t="s">
        <v>26</v>
      </c>
    </row>
    <row r="274" hidden="1" spans="1:19">
      <c r="A274" s="213">
        <v>271</v>
      </c>
      <c r="B274" s="213" t="s">
        <v>137</v>
      </c>
      <c r="C274" s="214" t="s">
        <v>350</v>
      </c>
      <c r="D274" s="214" t="s">
        <v>353</v>
      </c>
      <c r="E274" s="213">
        <v>11131</v>
      </c>
      <c r="F274" s="214">
        <v>10029</v>
      </c>
      <c r="G274" s="222">
        <v>385</v>
      </c>
      <c r="H274" s="216">
        <v>388.4719</v>
      </c>
      <c r="I274" s="214">
        <v>350</v>
      </c>
      <c r="J274" s="214">
        <v>3</v>
      </c>
      <c r="K274" s="214">
        <v>2</v>
      </c>
      <c r="L274" s="223">
        <v>4</v>
      </c>
      <c r="M274" s="223">
        <v>2</v>
      </c>
      <c r="N274" s="223">
        <v>2</v>
      </c>
      <c r="O274" s="213"/>
      <c r="P274" s="214">
        <v>42</v>
      </c>
      <c r="Q274" s="215" t="s">
        <v>36</v>
      </c>
      <c r="R274" s="215" t="s">
        <v>25</v>
      </c>
      <c r="S274" s="215" t="s">
        <v>26</v>
      </c>
    </row>
    <row r="275" hidden="1" spans="1:19">
      <c r="A275" s="213">
        <v>272</v>
      </c>
      <c r="B275" s="213" t="s">
        <v>137</v>
      </c>
      <c r="C275" s="214" t="s">
        <v>350</v>
      </c>
      <c r="D275" s="214" t="s">
        <v>354</v>
      </c>
      <c r="E275" s="213">
        <v>8914</v>
      </c>
      <c r="F275" s="214">
        <v>8023</v>
      </c>
      <c r="G275" s="222">
        <v>427</v>
      </c>
      <c r="H275" s="216">
        <v>311.0986</v>
      </c>
      <c r="I275" s="214">
        <v>280</v>
      </c>
      <c r="J275" s="214">
        <v>3</v>
      </c>
      <c r="K275" s="214">
        <v>2</v>
      </c>
      <c r="L275" s="223">
        <v>6</v>
      </c>
      <c r="M275" s="223">
        <v>2</v>
      </c>
      <c r="N275" s="223">
        <v>2</v>
      </c>
      <c r="O275" s="213"/>
      <c r="P275" s="214">
        <v>42</v>
      </c>
      <c r="Q275" s="215">
        <v>5</v>
      </c>
      <c r="R275" s="215" t="s">
        <v>25</v>
      </c>
      <c r="S275" s="215" t="s">
        <v>26</v>
      </c>
    </row>
    <row r="276" hidden="1" spans="1:19">
      <c r="A276" s="213">
        <v>273</v>
      </c>
      <c r="B276" s="213" t="s">
        <v>137</v>
      </c>
      <c r="C276" s="214" t="s">
        <v>350</v>
      </c>
      <c r="D276" s="214" t="s">
        <v>355</v>
      </c>
      <c r="E276" s="213">
        <v>10148</v>
      </c>
      <c r="F276" s="214">
        <v>9398</v>
      </c>
      <c r="G276" s="222">
        <v>385</v>
      </c>
      <c r="H276" s="216">
        <v>354.1652</v>
      </c>
      <c r="I276" s="214">
        <v>328</v>
      </c>
      <c r="J276" s="214">
        <v>3</v>
      </c>
      <c r="K276" s="214">
        <v>2</v>
      </c>
      <c r="L276" s="223">
        <v>5</v>
      </c>
      <c r="M276" s="223">
        <v>3</v>
      </c>
      <c r="N276" s="223">
        <v>2</v>
      </c>
      <c r="O276" s="213"/>
      <c r="P276" s="214">
        <v>75</v>
      </c>
      <c r="Q276" s="215">
        <v>6</v>
      </c>
      <c r="R276" s="215" t="s">
        <v>25</v>
      </c>
      <c r="S276" s="215" t="s">
        <v>26</v>
      </c>
    </row>
    <row r="277" hidden="1" spans="1:19">
      <c r="A277" s="213">
        <v>274</v>
      </c>
      <c r="B277" s="213" t="s">
        <v>137</v>
      </c>
      <c r="C277" s="214" t="s">
        <v>350</v>
      </c>
      <c r="D277" s="214" t="s">
        <v>356</v>
      </c>
      <c r="E277" s="213">
        <v>12863</v>
      </c>
      <c r="F277" s="214">
        <v>12120</v>
      </c>
      <c r="G277" s="222">
        <v>311</v>
      </c>
      <c r="H277" s="216">
        <v>448.9187</v>
      </c>
      <c r="I277" s="214">
        <v>423</v>
      </c>
      <c r="J277" s="214">
        <v>3</v>
      </c>
      <c r="K277" s="214">
        <v>2</v>
      </c>
      <c r="L277" s="223">
        <v>4</v>
      </c>
      <c r="M277" s="223">
        <v>3</v>
      </c>
      <c r="N277" s="223">
        <v>1</v>
      </c>
      <c r="O277" s="213"/>
      <c r="P277" s="214">
        <v>45</v>
      </c>
      <c r="Q277" s="215">
        <v>12</v>
      </c>
      <c r="R277" s="215" t="s">
        <v>25</v>
      </c>
      <c r="S277" s="215" t="s">
        <v>26</v>
      </c>
    </row>
    <row r="278" hidden="1" spans="1:19">
      <c r="A278" s="213">
        <v>275</v>
      </c>
      <c r="B278" s="213" t="s">
        <v>137</v>
      </c>
      <c r="C278" s="214" t="s">
        <v>350</v>
      </c>
      <c r="D278" s="214" t="s">
        <v>357</v>
      </c>
      <c r="E278" s="213">
        <v>12899</v>
      </c>
      <c r="F278" s="214">
        <v>13123</v>
      </c>
      <c r="G278" s="222">
        <v>354</v>
      </c>
      <c r="H278" s="216">
        <v>450.1751</v>
      </c>
      <c r="I278" s="214">
        <v>458</v>
      </c>
      <c r="J278" s="214">
        <v>3</v>
      </c>
      <c r="K278" s="214">
        <v>2</v>
      </c>
      <c r="L278" s="223">
        <v>4</v>
      </c>
      <c r="M278" s="223">
        <v>0</v>
      </c>
      <c r="N278" s="223">
        <v>1</v>
      </c>
      <c r="O278" s="213"/>
      <c r="P278" s="214">
        <v>32</v>
      </c>
      <c r="Q278" s="215" t="s">
        <v>36</v>
      </c>
      <c r="R278" s="215" t="s">
        <v>25</v>
      </c>
      <c r="S278" s="215" t="s">
        <v>26</v>
      </c>
    </row>
    <row r="279" hidden="1" spans="1:19">
      <c r="A279" s="213">
        <v>276</v>
      </c>
      <c r="B279" s="213" t="s">
        <v>137</v>
      </c>
      <c r="C279" s="214" t="s">
        <v>350</v>
      </c>
      <c r="D279" s="214" t="s">
        <v>358</v>
      </c>
      <c r="E279" s="213">
        <v>8928</v>
      </c>
      <c r="F279" s="214">
        <v>7708</v>
      </c>
      <c r="G279" s="222">
        <v>448</v>
      </c>
      <c r="H279" s="216">
        <v>311.5872</v>
      </c>
      <c r="I279" s="214">
        <v>269</v>
      </c>
      <c r="J279" s="214">
        <v>2</v>
      </c>
      <c r="K279" s="214">
        <v>2</v>
      </c>
      <c r="L279" s="223">
        <v>5</v>
      </c>
      <c r="M279" s="223">
        <v>3</v>
      </c>
      <c r="N279" s="223">
        <v>0</v>
      </c>
      <c r="O279" s="213"/>
      <c r="P279" s="214">
        <v>75</v>
      </c>
      <c r="Q279" s="215" t="s">
        <v>36</v>
      </c>
      <c r="R279" s="215" t="s">
        <v>36</v>
      </c>
      <c r="S279" s="215" t="s">
        <v>36</v>
      </c>
    </row>
    <row r="280" hidden="1" spans="1:19">
      <c r="A280" s="213">
        <v>277</v>
      </c>
      <c r="B280" s="213" t="s">
        <v>137</v>
      </c>
      <c r="C280" s="214" t="s">
        <v>350</v>
      </c>
      <c r="D280" s="214" t="s">
        <v>359</v>
      </c>
      <c r="E280" s="213">
        <v>11227</v>
      </c>
      <c r="F280" s="214">
        <v>9513</v>
      </c>
      <c r="G280" s="222">
        <v>449</v>
      </c>
      <c r="H280" s="216">
        <v>391.8223</v>
      </c>
      <c r="I280" s="214">
        <v>332</v>
      </c>
      <c r="J280" s="214">
        <v>2</v>
      </c>
      <c r="K280" s="214">
        <v>2</v>
      </c>
      <c r="L280" s="223">
        <v>4</v>
      </c>
      <c r="M280" s="223">
        <v>1</v>
      </c>
      <c r="N280" s="223">
        <v>0</v>
      </c>
      <c r="O280" s="213"/>
      <c r="P280" s="214">
        <v>92</v>
      </c>
      <c r="Q280" s="215">
        <v>7</v>
      </c>
      <c r="R280" s="215" t="s">
        <v>25</v>
      </c>
      <c r="S280" s="215" t="s">
        <v>26</v>
      </c>
    </row>
    <row r="281" hidden="1" spans="1:19">
      <c r="A281" s="213">
        <v>278</v>
      </c>
      <c r="B281" s="213" t="s">
        <v>137</v>
      </c>
      <c r="C281" s="214" t="s">
        <v>350</v>
      </c>
      <c r="D281" s="214" t="s">
        <v>360</v>
      </c>
      <c r="E281" s="213">
        <v>6826</v>
      </c>
      <c r="F281" s="214">
        <v>6332</v>
      </c>
      <c r="G281" s="222">
        <v>436</v>
      </c>
      <c r="H281" s="216">
        <v>238.2274</v>
      </c>
      <c r="I281" s="214">
        <v>221</v>
      </c>
      <c r="J281" s="214">
        <v>3</v>
      </c>
      <c r="K281" s="214">
        <v>2</v>
      </c>
      <c r="L281" s="223">
        <v>4</v>
      </c>
      <c r="M281" s="223">
        <v>1</v>
      </c>
      <c r="N281" s="223">
        <v>2</v>
      </c>
      <c r="O281" s="213"/>
      <c r="P281" s="214">
        <v>12</v>
      </c>
      <c r="Q281" s="215">
        <v>13</v>
      </c>
      <c r="R281" s="215" t="s">
        <v>25</v>
      </c>
      <c r="S281" s="215" t="s">
        <v>26</v>
      </c>
    </row>
    <row r="282" hidden="1" spans="1:19">
      <c r="A282" s="213">
        <v>279</v>
      </c>
      <c r="B282" s="213" t="s">
        <v>137</v>
      </c>
      <c r="C282" s="214" t="s">
        <v>350</v>
      </c>
      <c r="D282" s="214" t="s">
        <v>361</v>
      </c>
      <c r="E282" s="213">
        <v>13177</v>
      </c>
      <c r="F282" s="214">
        <v>11032</v>
      </c>
      <c r="G282" s="222">
        <v>311</v>
      </c>
      <c r="H282" s="216">
        <v>459.8773</v>
      </c>
      <c r="I282" s="214">
        <v>385</v>
      </c>
      <c r="J282" s="214">
        <v>3</v>
      </c>
      <c r="K282" s="214">
        <v>2</v>
      </c>
      <c r="L282" s="223">
        <v>5</v>
      </c>
      <c r="M282" s="223">
        <v>1</v>
      </c>
      <c r="N282" s="223">
        <v>1</v>
      </c>
      <c r="O282" s="213"/>
      <c r="P282" s="214">
        <v>25</v>
      </c>
      <c r="Q282" s="215">
        <v>13</v>
      </c>
      <c r="R282" s="215" t="s">
        <v>25</v>
      </c>
      <c r="S282" s="215" t="s">
        <v>26</v>
      </c>
    </row>
    <row r="283" hidden="1" spans="1:19">
      <c r="A283" s="213">
        <v>280</v>
      </c>
      <c r="B283" s="213" t="s">
        <v>137</v>
      </c>
      <c r="C283" s="214" t="s">
        <v>350</v>
      </c>
      <c r="D283" s="214" t="s">
        <v>362</v>
      </c>
      <c r="E283" s="213">
        <v>12513</v>
      </c>
      <c r="F283" s="214">
        <v>12206</v>
      </c>
      <c r="G283" s="222">
        <v>391</v>
      </c>
      <c r="H283" s="216">
        <v>436.7037</v>
      </c>
      <c r="I283" s="214">
        <v>426</v>
      </c>
      <c r="J283" s="214">
        <v>4</v>
      </c>
      <c r="K283" s="214">
        <v>2</v>
      </c>
      <c r="L283" s="223">
        <v>4</v>
      </c>
      <c r="M283" s="223">
        <v>1</v>
      </c>
      <c r="N283" s="223">
        <v>2</v>
      </c>
      <c r="O283" s="213"/>
      <c r="P283" s="214">
        <v>0</v>
      </c>
      <c r="Q283" s="215" t="s">
        <v>36</v>
      </c>
      <c r="R283" s="215" t="s">
        <v>36</v>
      </c>
      <c r="S283" s="215" t="s">
        <v>36</v>
      </c>
    </row>
    <row r="284" hidden="1" spans="1:19">
      <c r="A284" s="213">
        <v>281</v>
      </c>
      <c r="B284" s="213" t="s">
        <v>137</v>
      </c>
      <c r="C284" s="214" t="s">
        <v>350</v>
      </c>
      <c r="D284" s="214" t="s">
        <v>363</v>
      </c>
      <c r="E284" s="213">
        <v>7709</v>
      </c>
      <c r="F284" s="214">
        <v>6218</v>
      </c>
      <c r="G284" s="222">
        <v>238</v>
      </c>
      <c r="H284" s="216">
        <v>269.0441</v>
      </c>
      <c r="I284" s="214">
        <v>217</v>
      </c>
      <c r="J284" s="214">
        <v>2</v>
      </c>
      <c r="K284" s="214">
        <v>2</v>
      </c>
      <c r="L284" s="223">
        <v>4</v>
      </c>
      <c r="M284" s="223">
        <v>3</v>
      </c>
      <c r="N284" s="223">
        <v>1</v>
      </c>
      <c r="O284" s="213"/>
      <c r="P284" s="214">
        <v>12</v>
      </c>
      <c r="Q284" s="215" t="s">
        <v>36</v>
      </c>
      <c r="R284" s="215" t="s">
        <v>36</v>
      </c>
      <c r="S284" s="215" t="s">
        <v>36</v>
      </c>
    </row>
    <row r="285" hidden="1" spans="1:19">
      <c r="A285" s="213">
        <v>282</v>
      </c>
      <c r="B285" s="213" t="s">
        <v>137</v>
      </c>
      <c r="C285" s="214" t="s">
        <v>350</v>
      </c>
      <c r="D285" s="214" t="s">
        <v>364</v>
      </c>
      <c r="E285" s="213">
        <v>11370</v>
      </c>
      <c r="F285" s="214">
        <v>9054</v>
      </c>
      <c r="G285" s="222">
        <v>458</v>
      </c>
      <c r="H285" s="216">
        <v>396.813</v>
      </c>
      <c r="I285" s="214">
        <v>316</v>
      </c>
      <c r="J285" s="214">
        <v>3</v>
      </c>
      <c r="K285" s="214">
        <v>2</v>
      </c>
      <c r="L285" s="223">
        <v>6</v>
      </c>
      <c r="M285" s="223">
        <v>2</v>
      </c>
      <c r="N285" s="223">
        <v>1</v>
      </c>
      <c r="O285" s="213"/>
      <c r="P285" s="214">
        <v>62</v>
      </c>
      <c r="Q285" s="215">
        <v>5</v>
      </c>
      <c r="R285" s="215" t="s">
        <v>25</v>
      </c>
      <c r="S285" s="215" t="s">
        <v>26</v>
      </c>
    </row>
    <row r="286" hidden="1" spans="1:19">
      <c r="A286" s="213">
        <v>283</v>
      </c>
      <c r="B286" s="213" t="s">
        <v>137</v>
      </c>
      <c r="C286" s="214" t="s">
        <v>350</v>
      </c>
      <c r="D286" s="214" t="s">
        <v>365</v>
      </c>
      <c r="E286" s="213">
        <v>13002</v>
      </c>
      <c r="F286" s="214">
        <v>11777</v>
      </c>
      <c r="G286" s="222">
        <v>268</v>
      </c>
      <c r="H286" s="216">
        <v>453.7698</v>
      </c>
      <c r="I286" s="214">
        <v>411</v>
      </c>
      <c r="J286" s="214">
        <v>3</v>
      </c>
      <c r="K286" s="214">
        <v>2</v>
      </c>
      <c r="L286" s="223">
        <v>6</v>
      </c>
      <c r="M286" s="223">
        <v>2</v>
      </c>
      <c r="N286" s="223">
        <v>2</v>
      </c>
      <c r="O286" s="213"/>
      <c r="P286" s="214">
        <v>50</v>
      </c>
      <c r="Q286" s="215">
        <v>12</v>
      </c>
      <c r="R286" s="215" t="s">
        <v>25</v>
      </c>
      <c r="S286" s="215" t="s">
        <v>26</v>
      </c>
    </row>
    <row r="287" hidden="1" spans="1:19">
      <c r="A287" s="213">
        <v>284</v>
      </c>
      <c r="B287" s="213" t="s">
        <v>137</v>
      </c>
      <c r="C287" s="214" t="s">
        <v>350</v>
      </c>
      <c r="D287" s="214" t="s">
        <v>366</v>
      </c>
      <c r="E287" s="213">
        <v>9290</v>
      </c>
      <c r="F287" s="214">
        <v>8567</v>
      </c>
      <c r="G287" s="222">
        <v>395</v>
      </c>
      <c r="H287" s="216">
        <v>324.221</v>
      </c>
      <c r="I287" s="214">
        <v>299</v>
      </c>
      <c r="J287" s="214">
        <v>3</v>
      </c>
      <c r="K287" s="214">
        <v>2</v>
      </c>
      <c r="L287" s="223">
        <v>4</v>
      </c>
      <c r="M287" s="223">
        <v>2</v>
      </c>
      <c r="N287" s="223">
        <v>1</v>
      </c>
      <c r="O287" s="213"/>
      <c r="P287" s="214">
        <v>25</v>
      </c>
      <c r="Q287" s="215">
        <v>20</v>
      </c>
      <c r="R287" s="215" t="s">
        <v>25</v>
      </c>
      <c r="S287" s="215" t="s">
        <v>26</v>
      </c>
    </row>
    <row r="288" hidden="1" spans="1:19">
      <c r="A288" s="213">
        <v>285</v>
      </c>
      <c r="B288" s="213" t="s">
        <v>137</v>
      </c>
      <c r="C288" s="214" t="s">
        <v>350</v>
      </c>
      <c r="D288" s="214" t="s">
        <v>367</v>
      </c>
      <c r="E288" s="213">
        <v>15524</v>
      </c>
      <c r="F288" s="214">
        <v>12235</v>
      </c>
      <c r="G288" s="222">
        <v>453</v>
      </c>
      <c r="H288" s="216">
        <v>541.7876</v>
      </c>
      <c r="I288" s="214">
        <v>427</v>
      </c>
      <c r="J288" s="214">
        <v>3</v>
      </c>
      <c r="K288" s="214">
        <v>2</v>
      </c>
      <c r="L288" s="223">
        <v>6</v>
      </c>
      <c r="M288" s="223">
        <v>3</v>
      </c>
      <c r="N288" s="223">
        <v>2</v>
      </c>
      <c r="O288" s="213"/>
      <c r="P288" s="214">
        <v>60</v>
      </c>
      <c r="Q288" s="215" t="s">
        <v>36</v>
      </c>
      <c r="R288" s="215" t="s">
        <v>36</v>
      </c>
      <c r="S288" s="215" t="s">
        <v>36</v>
      </c>
    </row>
    <row r="289" hidden="1" spans="1:19">
      <c r="A289" s="213">
        <v>286</v>
      </c>
      <c r="B289" s="213" t="s">
        <v>137</v>
      </c>
      <c r="C289" s="214" t="s">
        <v>350</v>
      </c>
      <c r="D289" s="214" t="s">
        <v>368</v>
      </c>
      <c r="E289" s="213">
        <v>10384</v>
      </c>
      <c r="F289" s="214">
        <v>9484</v>
      </c>
      <c r="G289" s="222">
        <v>323</v>
      </c>
      <c r="H289" s="216">
        <v>362.4016</v>
      </c>
      <c r="I289" s="214">
        <v>331</v>
      </c>
      <c r="J289" s="214">
        <v>3</v>
      </c>
      <c r="K289" s="214">
        <v>2</v>
      </c>
      <c r="L289" s="223">
        <v>4</v>
      </c>
      <c r="M289" s="223">
        <v>1</v>
      </c>
      <c r="N289" s="223">
        <v>1</v>
      </c>
      <c r="O289" s="213"/>
      <c r="P289" s="214">
        <v>35</v>
      </c>
      <c r="Q289" s="215">
        <v>3</v>
      </c>
      <c r="R289" s="215" t="s">
        <v>25</v>
      </c>
      <c r="S289" s="215" t="s">
        <v>26</v>
      </c>
    </row>
    <row r="290" hidden="1" spans="1:19">
      <c r="A290" s="213">
        <v>287</v>
      </c>
      <c r="B290" s="213" t="s">
        <v>137</v>
      </c>
      <c r="C290" s="214" t="s">
        <v>350</v>
      </c>
      <c r="D290" s="214" t="s">
        <v>369</v>
      </c>
      <c r="E290" s="213">
        <v>10491</v>
      </c>
      <c r="F290" s="214">
        <v>8138</v>
      </c>
      <c r="G290" s="222">
        <v>541</v>
      </c>
      <c r="H290" s="216">
        <v>366.1359</v>
      </c>
      <c r="I290" s="214">
        <v>284</v>
      </c>
      <c r="J290" s="214">
        <v>3</v>
      </c>
      <c r="K290" s="214">
        <v>2</v>
      </c>
      <c r="L290" s="223">
        <v>4</v>
      </c>
      <c r="M290" s="223">
        <v>4</v>
      </c>
      <c r="N290" s="223">
        <v>1</v>
      </c>
      <c r="O290" s="213"/>
      <c r="P290" s="214">
        <v>105</v>
      </c>
      <c r="Q290" s="215">
        <v>13</v>
      </c>
      <c r="R290" s="215" t="s">
        <v>25</v>
      </c>
      <c r="S290" s="215" t="s">
        <v>26</v>
      </c>
    </row>
    <row r="291" hidden="1" spans="1:19">
      <c r="A291" s="213">
        <v>288</v>
      </c>
      <c r="B291" s="213" t="s">
        <v>137</v>
      </c>
      <c r="C291" s="214" t="s">
        <v>350</v>
      </c>
      <c r="D291" s="214" t="s">
        <v>370</v>
      </c>
      <c r="E291" s="213">
        <v>11133</v>
      </c>
      <c r="F291" s="214">
        <v>10258</v>
      </c>
      <c r="G291" s="222">
        <v>363</v>
      </c>
      <c r="H291" s="216">
        <v>388.5417</v>
      </c>
      <c r="I291" s="214">
        <v>358</v>
      </c>
      <c r="J291" s="214">
        <v>3</v>
      </c>
      <c r="K291" s="214">
        <v>2</v>
      </c>
      <c r="L291" s="223">
        <v>4</v>
      </c>
      <c r="M291" s="223">
        <v>2</v>
      </c>
      <c r="N291" s="223">
        <v>0</v>
      </c>
      <c r="O291" s="213"/>
      <c r="P291" s="214">
        <v>35</v>
      </c>
      <c r="Q291" s="215">
        <v>30</v>
      </c>
      <c r="R291" s="215" t="s">
        <v>25</v>
      </c>
      <c r="S291" s="215" t="s">
        <v>26</v>
      </c>
    </row>
    <row r="292" hidden="1" spans="1:19">
      <c r="A292" s="213">
        <v>289</v>
      </c>
      <c r="B292" s="213" t="s">
        <v>137</v>
      </c>
      <c r="C292" s="214" t="s">
        <v>350</v>
      </c>
      <c r="D292" s="214" t="s">
        <v>371</v>
      </c>
      <c r="E292" s="213">
        <v>6055</v>
      </c>
      <c r="F292" s="214">
        <v>6189</v>
      </c>
      <c r="G292" s="222">
        <v>367</v>
      </c>
      <c r="H292" s="216">
        <v>211.3195</v>
      </c>
      <c r="I292" s="214">
        <v>216</v>
      </c>
      <c r="J292" s="214">
        <v>2</v>
      </c>
      <c r="K292" s="214">
        <v>2</v>
      </c>
      <c r="L292" s="223">
        <v>4</v>
      </c>
      <c r="M292" s="223">
        <v>2</v>
      </c>
      <c r="N292" s="223">
        <v>1</v>
      </c>
      <c r="O292" s="213"/>
      <c r="P292" s="214">
        <v>84</v>
      </c>
      <c r="Q292" s="215" t="s">
        <v>36</v>
      </c>
      <c r="R292" s="215" t="s">
        <v>36</v>
      </c>
      <c r="S292" s="215" t="s">
        <v>36</v>
      </c>
    </row>
    <row r="293" spans="1:19">
      <c r="K293" s="224"/>
    </row>
    <row r="295" spans="1:19">
      <c r="K295" s="224"/>
    </row>
  </sheetData>
  <autoFilter xmlns:etc="http://www.wps.cn/officeDocument/2017/etCustomData" ref="A2:AD292" etc:filterBottomFollowUsedRange="0">
    <filterColumn colId="1">
      <customFilters>
        <customFilter operator="equal" val="Boende"/>
      </custom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2:N303"/>
  <sheetViews>
    <sheetView workbookViewId="0">
      <selection activeCell="M35" sqref="M35"/>
    </sheetView>
  </sheetViews>
  <sheetFormatPr defaultColWidth="8.90909090909091" defaultRowHeight="14.5"/>
  <cols>
    <col min="1" max="1" width="9.36363636363636" style="188" customWidth="1"/>
    <col min="2" max="4" width="17.5454545454545" customWidth="1"/>
    <col min="5" max="5" width="8.90909090909091" style="156"/>
    <col min="6" max="7" width="12.9090909090909" style="156"/>
    <col min="9" max="9" width="10.6363636363636" customWidth="1"/>
    <col min="14" max="14" width="12.9090909090909"/>
  </cols>
  <sheetData>
    <row r="2" ht="29" hidden="1" spans="1:9">
      <c r="A2" s="189" t="s">
        <v>0</v>
      </c>
      <c r="B2" s="161" t="s">
        <v>1</v>
      </c>
      <c r="C2" s="161" t="s">
        <v>2</v>
      </c>
      <c r="D2" s="161" t="s">
        <v>3</v>
      </c>
      <c r="E2" s="161" t="s">
        <v>372</v>
      </c>
      <c r="F2" s="161" t="s">
        <v>373</v>
      </c>
      <c r="G2" s="161" t="s">
        <v>374</v>
      </c>
      <c r="H2" s="161" t="s">
        <v>375</v>
      </c>
      <c r="I2" s="162" t="s">
        <v>376</v>
      </c>
    </row>
    <row r="3" hidden="1" spans="1:9">
      <c r="A3" s="226" t="s">
        <v>21</v>
      </c>
      <c r="B3" s="191" t="s">
        <v>22</v>
      </c>
      <c r="C3" s="192" t="s">
        <v>23</v>
      </c>
      <c r="D3" s="192" t="s">
        <v>24</v>
      </c>
      <c r="E3" s="193">
        <v>144</v>
      </c>
      <c r="F3" s="193">
        <v>8</v>
      </c>
      <c r="G3" s="194" t="s">
        <v>377</v>
      </c>
      <c r="H3" s="195">
        <v>0</v>
      </c>
      <c r="I3" s="196">
        <v>6</v>
      </c>
    </row>
    <row r="4" hidden="1" spans="1:9">
      <c r="A4" s="226" t="s">
        <v>27</v>
      </c>
      <c r="B4" s="191" t="s">
        <v>22</v>
      </c>
      <c r="C4" s="192" t="s">
        <v>23</v>
      </c>
      <c r="D4" s="192" t="s">
        <v>28</v>
      </c>
      <c r="E4" s="193">
        <v>136</v>
      </c>
      <c r="F4" s="193">
        <v>8</v>
      </c>
      <c r="G4" s="194" t="s">
        <v>377</v>
      </c>
      <c r="H4" s="195">
        <v>1</v>
      </c>
      <c r="I4" s="196">
        <v>30</v>
      </c>
    </row>
    <row r="5" hidden="1" spans="1:9">
      <c r="A5" s="226" t="s">
        <v>30</v>
      </c>
      <c r="B5" s="191" t="s">
        <v>22</v>
      </c>
      <c r="C5" s="192" t="s">
        <v>23</v>
      </c>
      <c r="D5" s="192" t="s">
        <v>31</v>
      </c>
      <c r="E5" s="193">
        <v>152</v>
      </c>
      <c r="F5" s="193">
        <v>8</v>
      </c>
      <c r="G5" s="194" t="s">
        <v>377</v>
      </c>
      <c r="H5" s="195">
        <v>0</v>
      </c>
      <c r="I5" s="196">
        <v>9</v>
      </c>
    </row>
    <row r="6" hidden="1" spans="1:9">
      <c r="A6" s="226" t="s">
        <v>32</v>
      </c>
      <c r="B6" s="191" t="s">
        <v>22</v>
      </c>
      <c r="C6" s="192" t="s">
        <v>23</v>
      </c>
      <c r="D6" s="192" t="s">
        <v>33</v>
      </c>
      <c r="E6" s="193">
        <v>160</v>
      </c>
      <c r="F6" s="193">
        <v>8</v>
      </c>
      <c r="G6" s="194" t="s">
        <v>377</v>
      </c>
      <c r="H6" s="195">
        <v>0</v>
      </c>
      <c r="I6" s="196">
        <v>11</v>
      </c>
    </row>
    <row r="7" hidden="1" spans="1:9">
      <c r="A7" s="226" t="s">
        <v>34</v>
      </c>
      <c r="B7" s="191" t="s">
        <v>22</v>
      </c>
      <c r="C7" s="192" t="s">
        <v>23</v>
      </c>
      <c r="D7" s="192" t="s">
        <v>35</v>
      </c>
      <c r="E7" s="193">
        <v>88</v>
      </c>
      <c r="F7" s="193">
        <v>8</v>
      </c>
      <c r="G7" s="194" t="s">
        <v>378</v>
      </c>
      <c r="H7" s="195">
        <v>0</v>
      </c>
      <c r="I7" s="196">
        <v>10</v>
      </c>
    </row>
    <row r="8" hidden="1" spans="1:9">
      <c r="A8" s="226" t="s">
        <v>37</v>
      </c>
      <c r="B8" s="191" t="s">
        <v>22</v>
      </c>
      <c r="C8" s="192" t="s">
        <v>23</v>
      </c>
      <c r="D8" s="192" t="s">
        <v>38</v>
      </c>
      <c r="E8" s="193">
        <v>72</v>
      </c>
      <c r="F8" s="193">
        <v>8</v>
      </c>
      <c r="G8" s="194" t="s">
        <v>377</v>
      </c>
      <c r="H8" s="195">
        <v>0</v>
      </c>
      <c r="I8" s="196">
        <v>6</v>
      </c>
    </row>
    <row r="9" hidden="1" spans="1:9">
      <c r="A9" s="226" t="s">
        <v>39</v>
      </c>
      <c r="B9" s="191" t="s">
        <v>22</v>
      </c>
      <c r="C9" s="192" t="s">
        <v>23</v>
      </c>
      <c r="D9" s="192" t="s">
        <v>40</v>
      </c>
      <c r="E9" s="193">
        <v>168</v>
      </c>
      <c r="F9" s="193">
        <v>8</v>
      </c>
      <c r="G9" s="194" t="s">
        <v>377</v>
      </c>
      <c r="H9" s="195">
        <v>0</v>
      </c>
      <c r="I9" s="196">
        <v>16</v>
      </c>
    </row>
    <row r="10" hidden="1" spans="1:9">
      <c r="A10" s="226" t="s">
        <v>41</v>
      </c>
      <c r="B10" s="191" t="s">
        <v>22</v>
      </c>
      <c r="C10" s="192" t="s">
        <v>23</v>
      </c>
      <c r="D10" s="192" t="s">
        <v>42</v>
      </c>
      <c r="E10" s="193">
        <v>88</v>
      </c>
      <c r="F10" s="193">
        <v>8</v>
      </c>
      <c r="G10" s="194" t="s">
        <v>377</v>
      </c>
      <c r="H10" s="195">
        <v>0</v>
      </c>
      <c r="I10" s="196">
        <v>6</v>
      </c>
    </row>
    <row r="11" hidden="1" spans="1:9">
      <c r="A11" s="226" t="s">
        <v>43</v>
      </c>
      <c r="B11" s="191" t="s">
        <v>22</v>
      </c>
      <c r="C11" s="192" t="s">
        <v>23</v>
      </c>
      <c r="D11" s="192" t="s">
        <v>44</v>
      </c>
      <c r="E11" s="193">
        <v>80</v>
      </c>
      <c r="F11" s="193">
        <v>8</v>
      </c>
      <c r="G11" s="194" t="s">
        <v>377</v>
      </c>
      <c r="H11" s="195">
        <v>0</v>
      </c>
      <c r="I11" s="196">
        <v>12</v>
      </c>
    </row>
    <row r="12" hidden="1" spans="1:9">
      <c r="A12" s="226" t="s">
        <v>45</v>
      </c>
      <c r="B12" s="191" t="s">
        <v>22</v>
      </c>
      <c r="C12" s="192" t="s">
        <v>23</v>
      </c>
      <c r="D12" s="192" t="s">
        <v>46</v>
      </c>
      <c r="E12" s="193">
        <v>208</v>
      </c>
      <c r="F12" s="193">
        <v>8</v>
      </c>
      <c r="G12" s="194" t="s">
        <v>377</v>
      </c>
      <c r="H12" s="195">
        <v>0</v>
      </c>
      <c r="I12" s="196">
        <v>21</v>
      </c>
    </row>
    <row r="13" hidden="1" spans="1:9">
      <c r="A13" s="226" t="s">
        <v>47</v>
      </c>
      <c r="B13" s="191" t="s">
        <v>22</v>
      </c>
      <c r="C13" s="192" t="s">
        <v>23</v>
      </c>
      <c r="D13" s="192" t="s">
        <v>48</v>
      </c>
      <c r="E13" s="193">
        <v>112</v>
      </c>
      <c r="F13" s="193">
        <v>8</v>
      </c>
      <c r="G13" s="194" t="s">
        <v>377</v>
      </c>
      <c r="H13" s="195">
        <v>0</v>
      </c>
      <c r="I13" s="196">
        <v>7</v>
      </c>
    </row>
    <row r="14" hidden="1" spans="1:9">
      <c r="A14" s="226" t="s">
        <v>49</v>
      </c>
      <c r="B14" s="191" t="s">
        <v>22</v>
      </c>
      <c r="C14" s="192" t="s">
        <v>23</v>
      </c>
      <c r="D14" s="192" t="s">
        <v>50</v>
      </c>
      <c r="E14" s="193">
        <v>160</v>
      </c>
      <c r="F14" s="193">
        <v>8</v>
      </c>
      <c r="G14" s="194" t="s">
        <v>377</v>
      </c>
      <c r="H14" s="195">
        <v>0</v>
      </c>
      <c r="I14" s="196">
        <v>13</v>
      </c>
    </row>
    <row r="15" hidden="1" spans="1:9">
      <c r="A15" s="226" t="s">
        <v>51</v>
      </c>
      <c r="B15" s="191" t="s">
        <v>22</v>
      </c>
      <c r="C15" s="192" t="s">
        <v>23</v>
      </c>
      <c r="D15" s="192" t="s">
        <v>52</v>
      </c>
      <c r="E15" s="193">
        <v>64</v>
      </c>
      <c r="F15" s="193">
        <v>8</v>
      </c>
      <c r="G15" s="194" t="s">
        <v>377</v>
      </c>
      <c r="H15" s="195">
        <v>0</v>
      </c>
      <c r="I15" s="196">
        <v>10</v>
      </c>
    </row>
    <row r="16" hidden="1" spans="1:9">
      <c r="A16" s="226" t="s">
        <v>53</v>
      </c>
      <c r="B16" s="191" t="s">
        <v>22</v>
      </c>
      <c r="C16" s="192" t="s">
        <v>23</v>
      </c>
      <c r="D16" s="192" t="s">
        <v>54</v>
      </c>
      <c r="E16" s="193">
        <v>120</v>
      </c>
      <c r="F16" s="193">
        <v>8</v>
      </c>
      <c r="G16" s="194" t="s">
        <v>377</v>
      </c>
      <c r="H16" s="195">
        <v>0</v>
      </c>
      <c r="I16" s="196">
        <v>10</v>
      </c>
    </row>
    <row r="17" hidden="1" spans="1:9">
      <c r="A17" s="226" t="s">
        <v>55</v>
      </c>
      <c r="B17" s="191" t="s">
        <v>22</v>
      </c>
      <c r="C17" s="192" t="s">
        <v>23</v>
      </c>
      <c r="D17" s="192" t="s">
        <v>56</v>
      </c>
      <c r="E17" s="193">
        <v>120</v>
      </c>
      <c r="F17" s="193">
        <v>8</v>
      </c>
      <c r="G17" s="194" t="s">
        <v>377</v>
      </c>
      <c r="H17" s="195">
        <v>0</v>
      </c>
      <c r="I17" s="196">
        <v>10</v>
      </c>
    </row>
    <row r="18" hidden="1" spans="1:9">
      <c r="A18" s="226" t="s">
        <v>57</v>
      </c>
      <c r="B18" s="191" t="s">
        <v>22</v>
      </c>
      <c r="C18" s="192" t="s">
        <v>23</v>
      </c>
      <c r="D18" s="192" t="s">
        <v>58</v>
      </c>
      <c r="E18" s="197"/>
      <c r="F18" s="197"/>
      <c r="G18" s="194" t="s">
        <v>378</v>
      </c>
      <c r="H18" s="192"/>
      <c r="I18" s="198"/>
    </row>
    <row r="19" hidden="1" spans="1:9">
      <c r="A19" s="226" t="s">
        <v>59</v>
      </c>
      <c r="B19" s="191" t="s">
        <v>22</v>
      </c>
      <c r="C19" s="192" t="s">
        <v>23</v>
      </c>
      <c r="D19" s="192" t="s">
        <v>60</v>
      </c>
      <c r="E19" s="193">
        <v>144</v>
      </c>
      <c r="F19" s="193">
        <v>8</v>
      </c>
      <c r="G19" s="194" t="s">
        <v>377</v>
      </c>
      <c r="H19" s="195">
        <v>0</v>
      </c>
      <c r="I19" s="196">
        <v>16</v>
      </c>
    </row>
    <row r="20" hidden="1" spans="1:9">
      <c r="A20" s="226" t="s">
        <v>61</v>
      </c>
      <c r="B20" s="191" t="s">
        <v>22</v>
      </c>
      <c r="C20" s="192" t="s">
        <v>23</v>
      </c>
      <c r="D20" s="192" t="s">
        <v>62</v>
      </c>
      <c r="E20" s="193">
        <v>192</v>
      </c>
      <c r="F20" s="193">
        <v>8</v>
      </c>
      <c r="G20" s="194" t="s">
        <v>377</v>
      </c>
      <c r="H20" s="195">
        <v>0</v>
      </c>
      <c r="I20" s="196">
        <v>16</v>
      </c>
    </row>
    <row r="21" hidden="1" spans="1:9">
      <c r="A21" s="226" t="s">
        <v>63</v>
      </c>
      <c r="B21" s="191" t="s">
        <v>22</v>
      </c>
      <c r="C21" s="192" t="s">
        <v>23</v>
      </c>
      <c r="D21" s="192" t="s">
        <v>64</v>
      </c>
      <c r="E21" s="193">
        <v>72</v>
      </c>
      <c r="F21" s="193">
        <v>8</v>
      </c>
      <c r="G21" s="194" t="s">
        <v>377</v>
      </c>
      <c r="H21" s="195">
        <v>0</v>
      </c>
      <c r="I21" s="196">
        <v>5</v>
      </c>
    </row>
    <row r="22" hidden="1" spans="1:9">
      <c r="A22" s="226" t="s">
        <v>65</v>
      </c>
      <c r="B22" s="191" t="s">
        <v>22</v>
      </c>
      <c r="C22" s="192" t="s">
        <v>23</v>
      </c>
      <c r="D22" s="192" t="s">
        <v>66</v>
      </c>
      <c r="E22" s="193">
        <v>136</v>
      </c>
      <c r="F22" s="193">
        <v>8</v>
      </c>
      <c r="G22" s="194" t="s">
        <v>377</v>
      </c>
      <c r="H22" s="195">
        <v>0</v>
      </c>
      <c r="I22" s="196">
        <v>8</v>
      </c>
    </row>
    <row r="23" hidden="1" spans="1:9">
      <c r="A23" s="226" t="s">
        <v>67</v>
      </c>
      <c r="B23" s="191" t="s">
        <v>22</v>
      </c>
      <c r="C23" s="192" t="s">
        <v>23</v>
      </c>
      <c r="D23" s="192" t="s">
        <v>68</v>
      </c>
      <c r="E23" s="193">
        <v>120</v>
      </c>
      <c r="F23" s="193">
        <v>8</v>
      </c>
      <c r="G23" s="194" t="s">
        <v>377</v>
      </c>
      <c r="H23" s="195">
        <v>0</v>
      </c>
      <c r="I23" s="196">
        <v>12</v>
      </c>
    </row>
    <row r="24" hidden="1" spans="1:9">
      <c r="A24" s="226" t="s">
        <v>69</v>
      </c>
      <c r="B24" s="191" t="s">
        <v>22</v>
      </c>
      <c r="C24" s="192" t="s">
        <v>23</v>
      </c>
      <c r="D24" s="192" t="s">
        <v>70</v>
      </c>
      <c r="E24" s="193">
        <v>64</v>
      </c>
      <c r="F24" s="193">
        <v>8</v>
      </c>
      <c r="G24" s="194" t="s">
        <v>377</v>
      </c>
      <c r="H24" s="195">
        <v>0</v>
      </c>
      <c r="I24" s="196">
        <v>10</v>
      </c>
    </row>
    <row r="25" hidden="1" spans="1:9">
      <c r="A25" s="190"/>
      <c r="B25" s="191"/>
      <c r="C25" s="191"/>
      <c r="D25" s="192"/>
      <c r="E25" s="199"/>
      <c r="F25" s="199"/>
      <c r="G25" s="199"/>
      <c r="H25" s="191"/>
      <c r="I25" s="200"/>
    </row>
    <row r="26" spans="1:9">
      <c r="A26" s="190">
        <v>24</v>
      </c>
      <c r="B26" s="191" t="s">
        <v>22</v>
      </c>
      <c r="C26" s="192" t="s">
        <v>71</v>
      </c>
      <c r="D26" s="192" t="s">
        <v>72</v>
      </c>
      <c r="E26" s="199">
        <v>15</v>
      </c>
      <c r="F26" s="201">
        <v>152</v>
      </c>
      <c r="G26" s="194" t="s">
        <v>377</v>
      </c>
      <c r="H26" s="202">
        <v>0</v>
      </c>
      <c r="I26" s="203">
        <v>4</v>
      </c>
    </row>
    <row r="27" spans="1:9">
      <c r="A27" s="190">
        <v>25</v>
      </c>
      <c r="B27" s="191" t="s">
        <v>22</v>
      </c>
      <c r="C27" s="192" t="s">
        <v>71</v>
      </c>
      <c r="D27" s="192" t="s">
        <v>73</v>
      </c>
      <c r="E27" s="199">
        <v>22</v>
      </c>
      <c r="F27" s="201">
        <v>128</v>
      </c>
      <c r="G27" s="194" t="s">
        <v>377</v>
      </c>
      <c r="H27" s="202">
        <v>0</v>
      </c>
      <c r="I27" s="203">
        <v>6</v>
      </c>
    </row>
    <row r="28" spans="1:9">
      <c r="A28" s="190">
        <v>26</v>
      </c>
      <c r="B28" s="191" t="s">
        <v>22</v>
      </c>
      <c r="C28" s="192" t="s">
        <v>71</v>
      </c>
      <c r="D28" s="192" t="s">
        <v>74</v>
      </c>
      <c r="E28" s="199">
        <v>40</v>
      </c>
      <c r="F28" s="204">
        <v>240</v>
      </c>
      <c r="G28" s="194" t="s">
        <v>378</v>
      </c>
      <c r="H28" s="202">
        <v>0</v>
      </c>
      <c r="I28" s="203">
        <v>7</v>
      </c>
    </row>
    <row r="29" spans="1:9">
      <c r="A29" s="190">
        <v>27</v>
      </c>
      <c r="B29" s="191" t="s">
        <v>22</v>
      </c>
      <c r="C29" s="192" t="s">
        <v>71</v>
      </c>
      <c r="D29" s="192" t="s">
        <v>75</v>
      </c>
      <c r="E29" s="199">
        <v>42</v>
      </c>
      <c r="F29" s="201">
        <v>296</v>
      </c>
      <c r="G29" s="194" t="s">
        <v>377</v>
      </c>
      <c r="H29" s="202">
        <v>0</v>
      </c>
      <c r="I29" s="203">
        <v>6</v>
      </c>
    </row>
    <row r="30" spans="1:9">
      <c r="A30" s="190">
        <v>28</v>
      </c>
      <c r="B30" s="191" t="s">
        <v>22</v>
      </c>
      <c r="C30" s="192" t="s">
        <v>71</v>
      </c>
      <c r="D30" s="192" t="s">
        <v>76</v>
      </c>
      <c r="E30" s="199">
        <v>29</v>
      </c>
      <c r="F30" s="201">
        <v>128</v>
      </c>
      <c r="G30" s="194" t="s">
        <v>377</v>
      </c>
      <c r="H30" s="202">
        <v>0</v>
      </c>
      <c r="I30" s="203">
        <v>7</v>
      </c>
    </row>
    <row r="31" spans="1:9">
      <c r="A31" s="190">
        <v>29</v>
      </c>
      <c r="B31" s="191" t="s">
        <v>22</v>
      </c>
      <c r="C31" s="192" t="s">
        <v>71</v>
      </c>
      <c r="D31" s="192" t="s">
        <v>77</v>
      </c>
      <c r="E31" s="199">
        <v>12</v>
      </c>
      <c r="F31" s="201">
        <v>72</v>
      </c>
      <c r="G31" s="194" t="s">
        <v>377</v>
      </c>
      <c r="H31" s="202">
        <v>0</v>
      </c>
      <c r="I31" s="203">
        <v>4</v>
      </c>
    </row>
    <row r="32" spans="1:9">
      <c r="A32" s="190">
        <v>30</v>
      </c>
      <c r="B32" s="191" t="s">
        <v>22</v>
      </c>
      <c r="C32" s="192" t="s">
        <v>71</v>
      </c>
      <c r="D32" s="192" t="s">
        <v>78</v>
      </c>
      <c r="E32" s="199">
        <v>22</v>
      </c>
      <c r="F32" s="201">
        <v>152</v>
      </c>
      <c r="G32" s="194" t="s">
        <v>378</v>
      </c>
      <c r="H32" s="202">
        <v>0</v>
      </c>
      <c r="I32" s="203">
        <v>7</v>
      </c>
    </row>
    <row r="33" spans="1:14">
      <c r="A33" s="190">
        <v>31</v>
      </c>
      <c r="B33" s="191" t="s">
        <v>22</v>
      </c>
      <c r="C33" s="192" t="s">
        <v>71</v>
      </c>
      <c r="D33" s="192" t="s">
        <v>79</v>
      </c>
      <c r="E33" s="199">
        <v>26</v>
      </c>
      <c r="F33" s="201">
        <v>96</v>
      </c>
      <c r="G33" s="194" t="s">
        <v>378</v>
      </c>
      <c r="H33" s="202">
        <v>0</v>
      </c>
      <c r="I33" s="203">
        <v>5</v>
      </c>
    </row>
    <row r="34" spans="1:14">
      <c r="A34" s="190">
        <v>32</v>
      </c>
      <c r="B34" s="191" t="s">
        <v>22</v>
      </c>
      <c r="C34" s="192" t="s">
        <v>71</v>
      </c>
      <c r="D34" s="192" t="s">
        <v>80</v>
      </c>
      <c r="E34" s="199">
        <v>16</v>
      </c>
      <c r="F34" s="201">
        <v>104</v>
      </c>
      <c r="G34" s="194" t="s">
        <v>377</v>
      </c>
      <c r="H34" s="202">
        <v>0</v>
      </c>
      <c r="I34" s="203">
        <v>4</v>
      </c>
      <c r="L34">
        <v>5191</v>
      </c>
      <c r="M34">
        <v>11272</v>
      </c>
      <c r="N34">
        <f>L34/M34</f>
        <v>0.460521646557842</v>
      </c>
    </row>
    <row r="35" spans="1:14">
      <c r="A35" s="190">
        <v>33</v>
      </c>
      <c r="B35" s="191" t="s">
        <v>22</v>
      </c>
      <c r="C35" s="192" t="s">
        <v>71</v>
      </c>
      <c r="D35" s="192" t="s">
        <v>81</v>
      </c>
      <c r="E35" s="199">
        <v>24</v>
      </c>
      <c r="F35" s="201">
        <v>144</v>
      </c>
      <c r="G35" s="194" t="s">
        <v>377</v>
      </c>
      <c r="H35" s="202">
        <v>0</v>
      </c>
      <c r="I35" s="203">
        <v>4</v>
      </c>
    </row>
    <row r="36" spans="1:14">
      <c r="A36" s="190">
        <v>34</v>
      </c>
      <c r="B36" s="191" t="s">
        <v>22</v>
      </c>
      <c r="C36" s="192" t="s">
        <v>71</v>
      </c>
      <c r="D36" s="192" t="s">
        <v>82</v>
      </c>
      <c r="E36" s="199">
        <v>14</v>
      </c>
      <c r="F36" s="201">
        <v>96</v>
      </c>
      <c r="G36" s="194" t="s">
        <v>378</v>
      </c>
      <c r="H36" s="202">
        <v>0</v>
      </c>
      <c r="I36" s="203">
        <v>4</v>
      </c>
    </row>
    <row r="37" spans="1:14">
      <c r="A37" s="190">
        <v>35</v>
      </c>
      <c r="B37" s="191" t="s">
        <v>22</v>
      </c>
      <c r="C37" s="192" t="s">
        <v>71</v>
      </c>
      <c r="D37" s="192" t="s">
        <v>83</v>
      </c>
      <c r="E37" s="199">
        <v>16</v>
      </c>
      <c r="F37" s="201">
        <v>72</v>
      </c>
      <c r="G37" s="194" t="s">
        <v>377</v>
      </c>
      <c r="H37" s="202">
        <v>0</v>
      </c>
      <c r="I37" s="203">
        <v>4</v>
      </c>
    </row>
    <row r="38" spans="1:14">
      <c r="A38" s="190">
        <v>36</v>
      </c>
      <c r="B38" s="191" t="s">
        <v>22</v>
      </c>
      <c r="C38" s="192" t="s">
        <v>71</v>
      </c>
      <c r="D38" s="192" t="s">
        <v>84</v>
      </c>
      <c r="E38" s="199">
        <v>12</v>
      </c>
      <c r="F38" s="201">
        <v>64</v>
      </c>
      <c r="G38" s="194" t="s">
        <v>377</v>
      </c>
      <c r="H38" s="202">
        <v>0</v>
      </c>
      <c r="I38" s="203">
        <v>4</v>
      </c>
    </row>
    <row r="39" spans="1:14">
      <c r="A39" s="190">
        <v>37</v>
      </c>
      <c r="B39" s="191" t="s">
        <v>22</v>
      </c>
      <c r="C39" s="192" t="s">
        <v>71</v>
      </c>
      <c r="D39" s="192" t="s">
        <v>85</v>
      </c>
      <c r="E39" s="199">
        <v>14</v>
      </c>
      <c r="F39" s="201">
        <v>80</v>
      </c>
      <c r="G39" s="194" t="s">
        <v>377</v>
      </c>
      <c r="H39" s="202">
        <v>0</v>
      </c>
      <c r="I39" s="203">
        <v>5</v>
      </c>
    </row>
    <row r="40" spans="1:14">
      <c r="A40" s="190">
        <v>38</v>
      </c>
      <c r="B40" s="191" t="s">
        <v>22</v>
      </c>
      <c r="C40" s="192" t="s">
        <v>71</v>
      </c>
      <c r="D40" s="192" t="s">
        <v>86</v>
      </c>
      <c r="E40" s="199">
        <v>19</v>
      </c>
      <c r="F40" s="204">
        <v>40</v>
      </c>
      <c r="G40" s="194" t="s">
        <v>377</v>
      </c>
      <c r="H40" s="202">
        <v>0</v>
      </c>
      <c r="I40" s="203">
        <v>4</v>
      </c>
    </row>
    <row r="41" spans="1:14">
      <c r="A41" s="190">
        <v>39</v>
      </c>
      <c r="B41" s="191" t="s">
        <v>22</v>
      </c>
      <c r="C41" s="192" t="s">
        <v>71</v>
      </c>
      <c r="D41" s="192" t="s">
        <v>87</v>
      </c>
      <c r="E41" s="199">
        <v>20</v>
      </c>
      <c r="F41" s="204">
        <v>80</v>
      </c>
      <c r="G41" s="194" t="s">
        <v>377</v>
      </c>
      <c r="H41" s="202">
        <v>0</v>
      </c>
      <c r="I41" s="203">
        <v>6</v>
      </c>
    </row>
    <row r="42" spans="1:14">
      <c r="A42" s="190">
        <v>40</v>
      </c>
      <c r="B42" s="191" t="s">
        <v>22</v>
      </c>
      <c r="C42" s="192" t="s">
        <v>71</v>
      </c>
      <c r="D42" s="192" t="s">
        <v>88</v>
      </c>
      <c r="E42" s="199">
        <v>20</v>
      </c>
      <c r="F42" s="204">
        <v>80</v>
      </c>
      <c r="G42" s="194" t="s">
        <v>378</v>
      </c>
      <c r="H42" s="202">
        <v>0</v>
      </c>
      <c r="I42" s="203">
        <v>5</v>
      </c>
    </row>
    <row r="43" spans="1:14">
      <c r="A43" s="190">
        <v>41</v>
      </c>
      <c r="B43" s="191" t="s">
        <v>22</v>
      </c>
      <c r="C43" s="192" t="s">
        <v>71</v>
      </c>
      <c r="D43" s="192" t="s">
        <v>89</v>
      </c>
      <c r="E43" s="199">
        <v>16</v>
      </c>
      <c r="F43" s="204">
        <v>96</v>
      </c>
      <c r="G43" s="194" t="s">
        <v>377</v>
      </c>
      <c r="H43" s="202">
        <v>0</v>
      </c>
      <c r="I43" s="203">
        <v>8</v>
      </c>
    </row>
    <row r="44" spans="1:14">
      <c r="A44" s="190">
        <v>42</v>
      </c>
      <c r="B44" s="191" t="s">
        <v>22</v>
      </c>
      <c r="C44" s="192" t="s">
        <v>71</v>
      </c>
      <c r="D44" s="192" t="s">
        <v>90</v>
      </c>
      <c r="E44" s="199">
        <v>16</v>
      </c>
      <c r="F44" s="201">
        <v>56</v>
      </c>
      <c r="G44" s="194" t="s">
        <v>378</v>
      </c>
      <c r="H44" s="202">
        <v>0</v>
      </c>
      <c r="I44" s="203">
        <v>5</v>
      </c>
    </row>
    <row r="45" spans="1:14">
      <c r="A45" s="190">
        <v>43</v>
      </c>
      <c r="B45" s="191" t="s">
        <v>22</v>
      </c>
      <c r="C45" s="192" t="s">
        <v>71</v>
      </c>
      <c r="D45" s="192" t="s">
        <v>91</v>
      </c>
      <c r="E45" s="199">
        <v>22</v>
      </c>
      <c r="F45" s="201">
        <v>72</v>
      </c>
      <c r="G45" s="194" t="s">
        <v>378</v>
      </c>
      <c r="H45" s="202">
        <v>0</v>
      </c>
      <c r="I45" s="203">
        <v>5</v>
      </c>
    </row>
    <row r="46" spans="1:14">
      <c r="A46" s="190">
        <v>44</v>
      </c>
      <c r="B46" s="191" t="s">
        <v>22</v>
      </c>
      <c r="C46" s="192" t="s">
        <v>71</v>
      </c>
      <c r="D46" s="192" t="s">
        <v>92</v>
      </c>
      <c r="E46" s="199">
        <v>20</v>
      </c>
      <c r="F46" s="204">
        <v>80</v>
      </c>
      <c r="G46" s="194" t="s">
        <v>377</v>
      </c>
      <c r="H46" s="202">
        <v>0</v>
      </c>
      <c r="I46" s="203">
        <v>4</v>
      </c>
    </row>
    <row r="47" spans="1:14">
      <c r="A47" s="190">
        <v>45</v>
      </c>
      <c r="B47" s="191" t="s">
        <v>22</v>
      </c>
      <c r="C47" s="192" t="s">
        <v>71</v>
      </c>
      <c r="D47" s="192" t="s">
        <v>93</v>
      </c>
      <c r="E47" s="199">
        <v>24</v>
      </c>
      <c r="F47" s="204">
        <v>120</v>
      </c>
      <c r="G47" s="194" t="s">
        <v>377</v>
      </c>
      <c r="H47" s="202">
        <v>0</v>
      </c>
      <c r="I47" s="203">
        <v>4</v>
      </c>
    </row>
    <row r="48" spans="1:14">
      <c r="A48" s="190">
        <v>46</v>
      </c>
      <c r="B48" s="191" t="s">
        <v>22</v>
      </c>
      <c r="C48" s="192" t="s">
        <v>71</v>
      </c>
      <c r="D48" s="192" t="s">
        <v>94</v>
      </c>
      <c r="E48" s="199">
        <v>19</v>
      </c>
      <c r="F48" s="201">
        <v>40</v>
      </c>
      <c r="G48" s="194" t="s">
        <v>378</v>
      </c>
      <c r="H48" s="202">
        <v>0</v>
      </c>
      <c r="I48" s="203">
        <v>3</v>
      </c>
    </row>
    <row r="49" spans="1:9">
      <c r="A49" s="190">
        <v>47</v>
      </c>
      <c r="B49" s="191" t="s">
        <v>22</v>
      </c>
      <c r="C49" s="192" t="s">
        <v>71</v>
      </c>
      <c r="D49" s="192" t="s">
        <v>95</v>
      </c>
      <c r="E49" s="199">
        <v>20</v>
      </c>
      <c r="F49" s="201">
        <v>88</v>
      </c>
      <c r="G49" s="194" t="s">
        <v>377</v>
      </c>
      <c r="H49" s="202">
        <v>0</v>
      </c>
      <c r="I49" s="203">
        <v>4</v>
      </c>
    </row>
    <row r="50" spans="1:9">
      <c r="A50" s="190">
        <v>48</v>
      </c>
      <c r="B50" s="191" t="s">
        <v>22</v>
      </c>
      <c r="C50" s="192" t="s">
        <v>71</v>
      </c>
      <c r="D50" s="192" t="s">
        <v>96</v>
      </c>
      <c r="E50" s="199">
        <v>18</v>
      </c>
      <c r="F50" s="201">
        <v>72</v>
      </c>
      <c r="G50" s="194" t="s">
        <v>377</v>
      </c>
      <c r="H50" s="202">
        <v>0</v>
      </c>
      <c r="I50" s="203">
        <v>5</v>
      </c>
    </row>
    <row r="51" spans="1:9">
      <c r="A51" s="190">
        <v>49</v>
      </c>
      <c r="B51" s="191" t="s">
        <v>22</v>
      </c>
      <c r="C51" s="192" t="s">
        <v>71</v>
      </c>
      <c r="D51" s="192" t="s">
        <v>97</v>
      </c>
      <c r="E51" s="199">
        <v>18</v>
      </c>
      <c r="F51" s="201">
        <v>56</v>
      </c>
      <c r="G51" s="194" t="s">
        <v>377</v>
      </c>
      <c r="H51" s="202">
        <v>0</v>
      </c>
      <c r="I51" s="203">
        <v>4</v>
      </c>
    </row>
    <row r="52" spans="1:9">
      <c r="A52" s="190">
        <v>50</v>
      </c>
      <c r="B52" s="191" t="s">
        <v>22</v>
      </c>
      <c r="C52" s="192" t="s">
        <v>71</v>
      </c>
      <c r="D52" s="192" t="s">
        <v>98</v>
      </c>
      <c r="E52" s="199">
        <v>24</v>
      </c>
      <c r="F52" s="201">
        <v>168</v>
      </c>
      <c r="G52" s="194" t="s">
        <v>377</v>
      </c>
      <c r="H52" s="202">
        <v>0</v>
      </c>
      <c r="I52" s="203">
        <v>9</v>
      </c>
    </row>
    <row r="53" spans="1:9">
      <c r="A53" s="190">
        <v>51</v>
      </c>
      <c r="B53" s="191" t="s">
        <v>22</v>
      </c>
      <c r="C53" s="192" t="s">
        <v>71</v>
      </c>
      <c r="D53" s="192" t="s">
        <v>99</v>
      </c>
      <c r="E53" s="199">
        <v>14</v>
      </c>
      <c r="F53" s="201">
        <v>64</v>
      </c>
      <c r="G53" s="194" t="s">
        <v>378</v>
      </c>
      <c r="H53" s="202">
        <v>0</v>
      </c>
      <c r="I53" s="203">
        <v>4</v>
      </c>
    </row>
    <row r="54" spans="1:9">
      <c r="A54" s="190">
        <v>52</v>
      </c>
      <c r="B54" s="191" t="s">
        <v>22</v>
      </c>
      <c r="C54" s="192" t="s">
        <v>71</v>
      </c>
      <c r="D54" s="192" t="s">
        <v>100</v>
      </c>
      <c r="E54" s="199">
        <v>38</v>
      </c>
      <c r="F54" s="204">
        <v>272</v>
      </c>
      <c r="G54" s="194" t="s">
        <v>378</v>
      </c>
      <c r="H54" s="202">
        <v>0</v>
      </c>
      <c r="I54" s="203">
        <v>9</v>
      </c>
    </row>
    <row r="55" spans="1:9">
      <c r="A55" s="190">
        <v>53</v>
      </c>
      <c r="B55" s="191" t="s">
        <v>22</v>
      </c>
      <c r="C55" s="192" t="s">
        <v>71</v>
      </c>
      <c r="D55" s="192" t="s">
        <v>101</v>
      </c>
      <c r="E55" s="199">
        <v>28</v>
      </c>
      <c r="F55" s="201">
        <v>152</v>
      </c>
      <c r="G55" s="194" t="s">
        <v>377</v>
      </c>
      <c r="H55" s="202">
        <v>0</v>
      </c>
      <c r="I55" s="203">
        <v>6</v>
      </c>
    </row>
    <row r="56" spans="1:9">
      <c r="A56" s="190">
        <v>54</v>
      </c>
      <c r="B56" s="191" t="s">
        <v>22</v>
      </c>
      <c r="C56" s="192" t="s">
        <v>71</v>
      </c>
      <c r="D56" s="192" t="s">
        <v>102</v>
      </c>
      <c r="E56" s="199">
        <v>40</v>
      </c>
      <c r="F56" s="201">
        <v>248</v>
      </c>
      <c r="G56" s="194" t="s">
        <v>377</v>
      </c>
      <c r="H56" s="202">
        <v>5</v>
      </c>
      <c r="I56" s="203">
        <v>10</v>
      </c>
    </row>
    <row r="57" spans="1:9">
      <c r="A57" s="190">
        <v>55</v>
      </c>
      <c r="B57" s="191" t="s">
        <v>22</v>
      </c>
      <c r="C57" s="192" t="s">
        <v>71</v>
      </c>
      <c r="D57" s="192" t="s">
        <v>103</v>
      </c>
      <c r="E57" s="199">
        <v>25</v>
      </c>
      <c r="F57" s="201">
        <v>136</v>
      </c>
      <c r="G57" s="194" t="s">
        <v>377</v>
      </c>
      <c r="H57" s="202">
        <v>0</v>
      </c>
      <c r="I57" s="203">
        <v>5</v>
      </c>
    </row>
    <row r="58" spans="1:9">
      <c r="A58" s="190">
        <v>56</v>
      </c>
      <c r="B58" s="191" t="s">
        <v>22</v>
      </c>
      <c r="C58" s="192" t="s">
        <v>71</v>
      </c>
      <c r="D58" s="192" t="s">
        <v>104</v>
      </c>
      <c r="E58" s="199">
        <v>22</v>
      </c>
      <c r="F58" s="204">
        <v>80</v>
      </c>
      <c r="G58" s="194" t="s">
        <v>377</v>
      </c>
      <c r="H58" s="202">
        <v>0</v>
      </c>
      <c r="I58" s="203">
        <v>5</v>
      </c>
    </row>
    <row r="59" spans="1:9">
      <c r="A59" s="190">
        <v>57</v>
      </c>
      <c r="B59" s="191" t="s">
        <v>22</v>
      </c>
      <c r="C59" s="192" t="s">
        <v>71</v>
      </c>
      <c r="D59" s="192" t="s">
        <v>105</v>
      </c>
      <c r="E59" s="199">
        <v>18</v>
      </c>
      <c r="F59" s="204">
        <v>88</v>
      </c>
      <c r="G59" s="194" t="s">
        <v>378</v>
      </c>
      <c r="H59" s="202">
        <v>0</v>
      </c>
      <c r="I59" s="203">
        <v>5</v>
      </c>
    </row>
    <row r="60" spans="1:9">
      <c r="A60" s="190">
        <v>58</v>
      </c>
      <c r="B60" s="191" t="s">
        <v>22</v>
      </c>
      <c r="C60" s="192" t="s">
        <v>71</v>
      </c>
      <c r="D60" s="192" t="s">
        <v>106</v>
      </c>
      <c r="E60" s="199">
        <v>26</v>
      </c>
      <c r="F60" s="204">
        <v>1200</v>
      </c>
      <c r="G60" s="194" t="s">
        <v>377</v>
      </c>
      <c r="H60" s="202">
        <v>0</v>
      </c>
      <c r="I60" s="203">
        <v>6</v>
      </c>
    </row>
    <row r="61" spans="1:9">
      <c r="A61" s="190">
        <v>59</v>
      </c>
      <c r="B61" s="191" t="s">
        <v>22</v>
      </c>
      <c r="C61" s="192" t="s">
        <v>71</v>
      </c>
      <c r="D61" s="192" t="s">
        <v>107</v>
      </c>
      <c r="E61" s="199">
        <v>24</v>
      </c>
      <c r="F61" s="201">
        <v>64</v>
      </c>
      <c r="G61" s="194" t="s">
        <v>377</v>
      </c>
      <c r="H61" s="202">
        <v>0</v>
      </c>
      <c r="I61" s="203">
        <v>4</v>
      </c>
    </row>
    <row r="62" spans="1:9">
      <c r="A62" s="190">
        <v>60</v>
      </c>
      <c r="B62" s="191" t="s">
        <v>22</v>
      </c>
      <c r="C62" s="192" t="s">
        <v>71</v>
      </c>
      <c r="D62" s="192" t="s">
        <v>108</v>
      </c>
      <c r="E62" s="199">
        <v>20</v>
      </c>
      <c r="F62" s="204">
        <v>80</v>
      </c>
      <c r="G62" s="194" t="s">
        <v>377</v>
      </c>
      <c r="H62" s="202">
        <v>0</v>
      </c>
      <c r="I62" s="203">
        <v>4</v>
      </c>
    </row>
    <row r="63" hidden="1" spans="1:9">
      <c r="A63" s="190"/>
      <c r="B63" s="191"/>
      <c r="C63" s="191"/>
      <c r="D63" s="192"/>
      <c r="E63" s="199"/>
      <c r="F63" s="199"/>
      <c r="G63" s="199"/>
      <c r="H63" s="191"/>
      <c r="I63" s="200"/>
    </row>
    <row r="64" hidden="1" spans="1:9">
      <c r="A64" s="190">
        <v>62</v>
      </c>
      <c r="B64" s="191" t="s">
        <v>109</v>
      </c>
      <c r="C64" s="192" t="s">
        <v>110</v>
      </c>
      <c r="D64" s="192" t="s">
        <v>111</v>
      </c>
      <c r="E64" s="201">
        <v>24</v>
      </c>
      <c r="F64" s="204">
        <v>5</v>
      </c>
      <c r="G64" s="194" t="s">
        <v>377</v>
      </c>
      <c r="H64" s="202">
        <v>3</v>
      </c>
      <c r="I64" s="203">
        <v>12</v>
      </c>
    </row>
    <row r="65" hidden="1" spans="1:9">
      <c r="A65" s="190">
        <v>63</v>
      </c>
      <c r="B65" s="191" t="s">
        <v>109</v>
      </c>
      <c r="C65" s="192" t="s">
        <v>110</v>
      </c>
      <c r="D65" s="192" t="s">
        <v>112</v>
      </c>
      <c r="E65" s="201">
        <v>28</v>
      </c>
      <c r="F65" s="204">
        <v>5</v>
      </c>
      <c r="G65" s="194" t="s">
        <v>377</v>
      </c>
      <c r="H65" s="202">
        <v>0</v>
      </c>
      <c r="I65" s="203">
        <v>10</v>
      </c>
    </row>
    <row r="66" hidden="1" spans="1:9">
      <c r="A66" s="190">
        <v>64</v>
      </c>
      <c r="B66" s="191" t="s">
        <v>109</v>
      </c>
      <c r="C66" s="192" t="s">
        <v>110</v>
      </c>
      <c r="D66" s="192" t="s">
        <v>113</v>
      </c>
      <c r="E66" s="201">
        <v>28</v>
      </c>
      <c r="F66" s="204">
        <v>5</v>
      </c>
      <c r="G66" s="194" t="s">
        <v>377</v>
      </c>
      <c r="H66" s="202">
        <v>0</v>
      </c>
      <c r="I66" s="203">
        <v>9</v>
      </c>
    </row>
    <row r="67" hidden="1" spans="1:9">
      <c r="A67" s="190">
        <v>65</v>
      </c>
      <c r="B67" s="191" t="s">
        <v>109</v>
      </c>
      <c r="C67" s="192" t="s">
        <v>110</v>
      </c>
      <c r="D67" s="192" t="s">
        <v>114</v>
      </c>
      <c r="E67" s="201">
        <v>44</v>
      </c>
      <c r="F67" s="204">
        <v>5</v>
      </c>
      <c r="G67" s="194" t="s">
        <v>377</v>
      </c>
      <c r="H67" s="202">
        <v>0</v>
      </c>
      <c r="I67" s="203">
        <v>11</v>
      </c>
    </row>
    <row r="68" hidden="1" spans="1:9">
      <c r="A68" s="190">
        <v>66</v>
      </c>
      <c r="B68" s="191" t="s">
        <v>109</v>
      </c>
      <c r="C68" s="192" t="s">
        <v>110</v>
      </c>
      <c r="D68" s="192" t="s">
        <v>116</v>
      </c>
      <c r="E68" s="201">
        <v>44</v>
      </c>
      <c r="F68" s="204">
        <v>5</v>
      </c>
      <c r="G68" s="194" t="s">
        <v>377</v>
      </c>
      <c r="H68" s="202">
        <v>0</v>
      </c>
      <c r="I68" s="203">
        <v>8</v>
      </c>
    </row>
    <row r="69" hidden="1" spans="1:9">
      <c r="A69" s="190">
        <v>67</v>
      </c>
      <c r="B69" s="191" t="s">
        <v>109</v>
      </c>
      <c r="C69" s="192" t="s">
        <v>110</v>
      </c>
      <c r="D69" s="192" t="s">
        <v>117</v>
      </c>
      <c r="E69" s="201">
        <v>24</v>
      </c>
      <c r="F69" s="204">
        <v>5</v>
      </c>
      <c r="G69" s="194" t="s">
        <v>378</v>
      </c>
      <c r="H69" s="202">
        <v>0</v>
      </c>
      <c r="I69" s="203">
        <v>7</v>
      </c>
    </row>
    <row r="70" hidden="1" spans="1:9">
      <c r="A70" s="190">
        <v>68</v>
      </c>
      <c r="B70" s="191" t="s">
        <v>109</v>
      </c>
      <c r="C70" s="192" t="s">
        <v>110</v>
      </c>
      <c r="D70" s="192" t="s">
        <v>118</v>
      </c>
      <c r="E70" s="201">
        <v>16</v>
      </c>
      <c r="F70" s="204">
        <v>5</v>
      </c>
      <c r="G70" s="194" t="s">
        <v>377</v>
      </c>
      <c r="H70" s="202">
        <v>0</v>
      </c>
      <c r="I70" s="203">
        <v>10</v>
      </c>
    </row>
    <row r="71" hidden="1" spans="1:9">
      <c r="A71" s="190">
        <v>69</v>
      </c>
      <c r="B71" s="191" t="s">
        <v>109</v>
      </c>
      <c r="C71" s="192" t="s">
        <v>110</v>
      </c>
      <c r="D71" s="192" t="s">
        <v>119</v>
      </c>
      <c r="E71" s="201">
        <v>18</v>
      </c>
      <c r="F71" s="204">
        <v>5</v>
      </c>
      <c r="G71" s="194" t="s">
        <v>377</v>
      </c>
      <c r="H71" s="202">
        <v>0</v>
      </c>
      <c r="I71" s="203">
        <v>6</v>
      </c>
    </row>
    <row r="72" hidden="1" spans="1:9">
      <c r="A72" s="190">
        <v>70</v>
      </c>
      <c r="B72" s="191" t="s">
        <v>109</v>
      </c>
      <c r="C72" s="192" t="s">
        <v>110</v>
      </c>
      <c r="D72" s="192" t="s">
        <v>120</v>
      </c>
      <c r="E72" s="201">
        <v>18</v>
      </c>
      <c r="F72" s="204">
        <v>5</v>
      </c>
      <c r="G72" s="194" t="s">
        <v>377</v>
      </c>
      <c r="H72" s="202">
        <v>0</v>
      </c>
      <c r="I72" s="203">
        <v>5</v>
      </c>
    </row>
    <row r="73" hidden="1" spans="1:9">
      <c r="A73" s="190">
        <v>71</v>
      </c>
      <c r="B73" s="191" t="s">
        <v>109</v>
      </c>
      <c r="C73" s="192" t="s">
        <v>110</v>
      </c>
      <c r="D73" s="192" t="s">
        <v>121</v>
      </c>
      <c r="E73" s="201">
        <v>40</v>
      </c>
      <c r="F73" s="204">
        <v>5</v>
      </c>
      <c r="G73" s="194" t="s">
        <v>378</v>
      </c>
      <c r="H73" s="202">
        <v>0</v>
      </c>
      <c r="I73" s="203">
        <v>14</v>
      </c>
    </row>
    <row r="74" hidden="1" spans="1:9">
      <c r="A74" s="190">
        <v>72</v>
      </c>
      <c r="B74" s="191" t="s">
        <v>109</v>
      </c>
      <c r="C74" s="192" t="s">
        <v>110</v>
      </c>
      <c r="D74" s="192" t="s">
        <v>122</v>
      </c>
      <c r="E74" s="201">
        <v>28</v>
      </c>
      <c r="F74" s="204">
        <v>5</v>
      </c>
      <c r="G74" s="194" t="s">
        <v>377</v>
      </c>
      <c r="H74" s="202">
        <v>0</v>
      </c>
      <c r="I74" s="203">
        <v>7</v>
      </c>
    </row>
    <row r="75" hidden="1" spans="1:9">
      <c r="A75" s="190">
        <v>73</v>
      </c>
      <c r="B75" s="191" t="s">
        <v>109</v>
      </c>
      <c r="C75" s="192" t="s">
        <v>110</v>
      </c>
      <c r="D75" s="192" t="s">
        <v>123</v>
      </c>
      <c r="E75" s="201">
        <v>28</v>
      </c>
      <c r="F75" s="204">
        <v>5</v>
      </c>
      <c r="G75" s="194" t="s">
        <v>377</v>
      </c>
      <c r="H75" s="202">
        <v>0</v>
      </c>
      <c r="I75" s="203">
        <v>16</v>
      </c>
    </row>
    <row r="76" hidden="1" spans="1:9">
      <c r="A76" s="190">
        <v>74</v>
      </c>
      <c r="B76" s="191" t="s">
        <v>109</v>
      </c>
      <c r="C76" s="192" t="s">
        <v>110</v>
      </c>
      <c r="D76" s="192" t="s">
        <v>124</v>
      </c>
      <c r="E76" s="201">
        <v>30</v>
      </c>
      <c r="F76" s="204">
        <v>5</v>
      </c>
      <c r="G76" s="194" t="s">
        <v>377</v>
      </c>
      <c r="H76" s="202">
        <v>0</v>
      </c>
      <c r="I76" s="203">
        <v>12</v>
      </c>
    </row>
    <row r="77" hidden="1" spans="1:9">
      <c r="A77" s="190">
        <v>75</v>
      </c>
      <c r="B77" s="191" t="s">
        <v>109</v>
      </c>
      <c r="C77" s="192" t="s">
        <v>110</v>
      </c>
      <c r="D77" s="192" t="s">
        <v>125</v>
      </c>
      <c r="E77" s="201">
        <v>12</v>
      </c>
      <c r="F77" s="204">
        <v>5</v>
      </c>
      <c r="G77" s="194" t="s">
        <v>377</v>
      </c>
      <c r="H77" s="202">
        <v>0</v>
      </c>
      <c r="I77" s="203">
        <v>5</v>
      </c>
    </row>
    <row r="78" hidden="1" spans="1:9">
      <c r="A78" s="190">
        <v>76</v>
      </c>
      <c r="B78" s="191" t="s">
        <v>109</v>
      </c>
      <c r="C78" s="192" t="s">
        <v>110</v>
      </c>
      <c r="D78" s="192" t="s">
        <v>126</v>
      </c>
      <c r="E78" s="201">
        <v>22</v>
      </c>
      <c r="F78" s="204">
        <v>5</v>
      </c>
      <c r="G78" s="194" t="s">
        <v>377</v>
      </c>
      <c r="H78" s="202">
        <v>0</v>
      </c>
      <c r="I78" s="203">
        <v>9</v>
      </c>
    </row>
    <row r="79" hidden="1" spans="1:9">
      <c r="A79" s="190">
        <v>77</v>
      </c>
      <c r="B79" s="191" t="s">
        <v>109</v>
      </c>
      <c r="C79" s="192" t="s">
        <v>110</v>
      </c>
      <c r="D79" s="192" t="s">
        <v>127</v>
      </c>
      <c r="E79" s="201">
        <v>14</v>
      </c>
      <c r="F79" s="204">
        <v>5</v>
      </c>
      <c r="G79" s="194" t="s">
        <v>377</v>
      </c>
      <c r="H79" s="202">
        <v>0</v>
      </c>
      <c r="I79" s="203">
        <v>7</v>
      </c>
    </row>
    <row r="80" hidden="1" spans="1:9">
      <c r="A80" s="190">
        <v>78</v>
      </c>
      <c r="B80" s="191" t="s">
        <v>109</v>
      </c>
      <c r="C80" s="192" t="s">
        <v>110</v>
      </c>
      <c r="D80" s="192" t="s">
        <v>128</v>
      </c>
      <c r="E80" s="201">
        <v>26</v>
      </c>
      <c r="F80" s="204">
        <v>5</v>
      </c>
      <c r="G80" s="194" t="s">
        <v>377</v>
      </c>
      <c r="H80" s="202">
        <v>0</v>
      </c>
      <c r="I80" s="203">
        <v>6</v>
      </c>
    </row>
    <row r="81" hidden="1" spans="1:9">
      <c r="A81" s="190">
        <v>79</v>
      </c>
      <c r="B81" s="191" t="s">
        <v>109</v>
      </c>
      <c r="C81" s="192" t="s">
        <v>110</v>
      </c>
      <c r="D81" s="192" t="s">
        <v>129</v>
      </c>
      <c r="E81" s="201">
        <v>14</v>
      </c>
      <c r="F81" s="204">
        <v>5</v>
      </c>
      <c r="G81" s="194" t="s">
        <v>378</v>
      </c>
      <c r="H81" s="202">
        <v>0</v>
      </c>
      <c r="I81" s="203">
        <v>13</v>
      </c>
    </row>
    <row r="82" hidden="1" spans="1:9">
      <c r="A82" s="190">
        <v>80</v>
      </c>
      <c r="B82" s="191" t="s">
        <v>109</v>
      </c>
      <c r="C82" s="192" t="s">
        <v>110</v>
      </c>
      <c r="D82" s="192" t="s">
        <v>130</v>
      </c>
      <c r="E82" s="201">
        <v>14</v>
      </c>
      <c r="F82" s="204">
        <v>5</v>
      </c>
      <c r="G82" s="194" t="s">
        <v>377</v>
      </c>
      <c r="H82" s="202">
        <v>0</v>
      </c>
      <c r="I82" s="203">
        <v>6</v>
      </c>
    </row>
    <row r="83" hidden="1" spans="1:9">
      <c r="A83" s="190">
        <v>81</v>
      </c>
      <c r="B83" s="191" t="s">
        <v>109</v>
      </c>
      <c r="C83" s="192" t="s">
        <v>110</v>
      </c>
      <c r="D83" s="192" t="s">
        <v>131</v>
      </c>
      <c r="E83" s="201">
        <v>22</v>
      </c>
      <c r="F83" s="204">
        <v>5</v>
      </c>
      <c r="G83" s="194" t="s">
        <v>377</v>
      </c>
      <c r="H83" s="202">
        <v>0</v>
      </c>
      <c r="I83" s="203">
        <v>10</v>
      </c>
    </row>
    <row r="84" hidden="1" spans="1:9">
      <c r="A84" s="190">
        <v>82</v>
      </c>
      <c r="B84" s="191" t="s">
        <v>109</v>
      </c>
      <c r="C84" s="192" t="s">
        <v>110</v>
      </c>
      <c r="D84" s="192" t="s">
        <v>132</v>
      </c>
      <c r="E84" s="201">
        <v>16</v>
      </c>
      <c r="F84" s="204">
        <v>5</v>
      </c>
      <c r="G84" s="194" t="s">
        <v>378</v>
      </c>
      <c r="H84" s="202">
        <v>0</v>
      </c>
      <c r="I84" s="203">
        <v>8</v>
      </c>
    </row>
    <row r="85" hidden="1" spans="1:9">
      <c r="A85" s="190">
        <v>83</v>
      </c>
      <c r="B85" s="191" t="s">
        <v>109</v>
      </c>
      <c r="C85" s="192" t="s">
        <v>110</v>
      </c>
      <c r="D85" s="192" t="s">
        <v>133</v>
      </c>
      <c r="E85" s="201">
        <v>34</v>
      </c>
      <c r="F85" s="204">
        <v>5</v>
      </c>
      <c r="G85" s="194" t="s">
        <v>378</v>
      </c>
      <c r="H85" s="202">
        <v>0</v>
      </c>
      <c r="I85" s="203">
        <v>11</v>
      </c>
    </row>
    <row r="86" hidden="1" spans="1:9">
      <c r="A86" s="190">
        <v>84</v>
      </c>
      <c r="B86" s="191" t="s">
        <v>109</v>
      </c>
      <c r="C86" s="192" t="s">
        <v>110</v>
      </c>
      <c r="D86" s="192" t="s">
        <v>134</v>
      </c>
      <c r="E86" s="201">
        <v>26</v>
      </c>
      <c r="F86" s="204">
        <v>5</v>
      </c>
      <c r="G86" s="194" t="s">
        <v>377</v>
      </c>
      <c r="H86" s="202">
        <v>0</v>
      </c>
      <c r="I86" s="203">
        <v>16</v>
      </c>
    </row>
    <row r="87" hidden="1" spans="1:9">
      <c r="A87" s="190">
        <v>85</v>
      </c>
      <c r="B87" s="191" t="s">
        <v>109</v>
      </c>
      <c r="C87" s="192" t="s">
        <v>110</v>
      </c>
      <c r="D87" s="192" t="s">
        <v>135</v>
      </c>
      <c r="E87" s="201">
        <v>16</v>
      </c>
      <c r="F87" s="204">
        <v>5</v>
      </c>
      <c r="G87" s="194" t="s">
        <v>377</v>
      </c>
      <c r="H87" s="202">
        <v>0</v>
      </c>
      <c r="I87" s="203">
        <v>11</v>
      </c>
    </row>
    <row r="88" hidden="1" spans="1:9">
      <c r="A88" s="190">
        <v>86</v>
      </c>
      <c r="B88" s="191" t="s">
        <v>109</v>
      </c>
      <c r="C88" s="192" t="s">
        <v>110</v>
      </c>
      <c r="D88" s="192" t="s">
        <v>136</v>
      </c>
      <c r="E88" s="201">
        <v>14</v>
      </c>
      <c r="F88" s="204">
        <v>5</v>
      </c>
      <c r="G88" s="194" t="s">
        <v>377</v>
      </c>
      <c r="H88" s="202">
        <v>0</v>
      </c>
      <c r="I88" s="203">
        <v>8</v>
      </c>
    </row>
    <row r="89" hidden="1" spans="1:9">
      <c r="A89" s="190"/>
      <c r="B89" s="191"/>
      <c r="C89" s="191"/>
      <c r="D89" s="192"/>
      <c r="E89" s="199"/>
      <c r="F89" s="199"/>
      <c r="G89" s="199"/>
      <c r="H89" s="191"/>
      <c r="I89" s="200"/>
    </row>
    <row r="90" hidden="1" spans="1:9">
      <c r="A90" s="190">
        <v>88</v>
      </c>
      <c r="B90" s="191" t="s">
        <v>137</v>
      </c>
      <c r="C90" s="192" t="s">
        <v>138</v>
      </c>
      <c r="D90" s="192" t="s">
        <v>139</v>
      </c>
      <c r="E90" s="204">
        <v>28</v>
      </c>
      <c r="F90" s="204">
        <v>0</v>
      </c>
      <c r="G90" s="194" t="s">
        <v>377</v>
      </c>
      <c r="H90" s="202">
        <v>0</v>
      </c>
      <c r="I90" s="203">
        <v>8</v>
      </c>
    </row>
    <row r="91" hidden="1" spans="1:9">
      <c r="A91" s="190">
        <v>89</v>
      </c>
      <c r="B91" s="191" t="s">
        <v>137</v>
      </c>
      <c r="C91" s="192" t="s">
        <v>138</v>
      </c>
      <c r="D91" s="192" t="s">
        <v>143</v>
      </c>
      <c r="E91" s="204">
        <v>28</v>
      </c>
      <c r="F91" s="204">
        <v>0</v>
      </c>
      <c r="G91" s="194" t="s">
        <v>378</v>
      </c>
      <c r="H91" s="202">
        <v>0</v>
      </c>
      <c r="I91" s="203">
        <v>10</v>
      </c>
    </row>
    <row r="92" hidden="1" spans="1:9">
      <c r="A92" s="190">
        <v>90</v>
      </c>
      <c r="B92" s="191" t="s">
        <v>137</v>
      </c>
      <c r="C92" s="192" t="s">
        <v>138</v>
      </c>
      <c r="D92" s="192" t="s">
        <v>144</v>
      </c>
      <c r="E92" s="204">
        <v>32</v>
      </c>
      <c r="F92" s="204">
        <v>0</v>
      </c>
      <c r="G92" s="194" t="s">
        <v>378</v>
      </c>
      <c r="H92" s="202">
        <v>0</v>
      </c>
      <c r="I92" s="203">
        <v>9</v>
      </c>
    </row>
    <row r="93" hidden="1" spans="1:9">
      <c r="A93" s="190">
        <v>91</v>
      </c>
      <c r="B93" s="191" t="s">
        <v>137</v>
      </c>
      <c r="C93" s="192" t="s">
        <v>138</v>
      </c>
      <c r="D93" s="192" t="s">
        <v>146</v>
      </c>
      <c r="E93" s="204">
        <v>23</v>
      </c>
      <c r="F93" s="204">
        <v>0</v>
      </c>
      <c r="G93" s="194" t="s">
        <v>377</v>
      </c>
      <c r="H93" s="202">
        <v>0</v>
      </c>
      <c r="I93" s="203">
        <v>6</v>
      </c>
    </row>
    <row r="94" hidden="1" spans="1:9">
      <c r="A94" s="190">
        <v>92</v>
      </c>
      <c r="B94" s="191" t="s">
        <v>137</v>
      </c>
      <c r="C94" s="192" t="s">
        <v>138</v>
      </c>
      <c r="D94" s="192" t="s">
        <v>147</v>
      </c>
      <c r="E94" s="204">
        <v>30</v>
      </c>
      <c r="F94" s="204">
        <v>0</v>
      </c>
      <c r="G94" s="194" t="s">
        <v>377</v>
      </c>
      <c r="H94" s="202">
        <v>0</v>
      </c>
      <c r="I94" s="203">
        <v>6</v>
      </c>
    </row>
    <row r="95" hidden="1" spans="1:9">
      <c r="A95" s="190">
        <v>93</v>
      </c>
      <c r="B95" s="191" t="s">
        <v>137</v>
      </c>
      <c r="C95" s="192" t="s">
        <v>138</v>
      </c>
      <c r="D95" s="192" t="s">
        <v>149</v>
      </c>
      <c r="E95" s="204">
        <v>23</v>
      </c>
      <c r="F95" s="204">
        <v>0</v>
      </c>
      <c r="G95" s="194" t="s">
        <v>377</v>
      </c>
      <c r="H95" s="202">
        <v>0</v>
      </c>
      <c r="I95" s="203">
        <v>19</v>
      </c>
    </row>
    <row r="96" hidden="1" spans="1:9">
      <c r="A96" s="190">
        <v>94</v>
      </c>
      <c r="B96" s="191" t="s">
        <v>137</v>
      </c>
      <c r="C96" s="192" t="s">
        <v>138</v>
      </c>
      <c r="D96" s="192" t="s">
        <v>150</v>
      </c>
      <c r="E96" s="204">
        <v>23</v>
      </c>
      <c r="F96" s="204">
        <v>0</v>
      </c>
      <c r="G96" s="194" t="s">
        <v>377</v>
      </c>
      <c r="H96" s="202">
        <v>0</v>
      </c>
      <c r="I96" s="203">
        <v>7</v>
      </c>
    </row>
    <row r="97" hidden="1" spans="1:9">
      <c r="A97" s="190">
        <v>95</v>
      </c>
      <c r="B97" s="191" t="s">
        <v>137</v>
      </c>
      <c r="C97" s="192" t="s">
        <v>138</v>
      </c>
      <c r="D97" s="192" t="s">
        <v>151</v>
      </c>
      <c r="E97" s="204">
        <v>30</v>
      </c>
      <c r="F97" s="204">
        <v>0</v>
      </c>
      <c r="G97" s="194" t="s">
        <v>377</v>
      </c>
      <c r="H97" s="202">
        <v>0</v>
      </c>
      <c r="I97" s="203">
        <v>10</v>
      </c>
    </row>
    <row r="98" hidden="1" spans="1:9">
      <c r="A98" s="190">
        <v>96</v>
      </c>
      <c r="B98" s="191" t="s">
        <v>137</v>
      </c>
      <c r="C98" s="192" t="s">
        <v>138</v>
      </c>
      <c r="D98" s="192" t="s">
        <v>152</v>
      </c>
      <c r="E98" s="204">
        <v>35</v>
      </c>
      <c r="F98" s="204">
        <v>0</v>
      </c>
      <c r="G98" s="194" t="s">
        <v>378</v>
      </c>
      <c r="H98" s="202">
        <v>0</v>
      </c>
      <c r="I98" s="203">
        <v>5</v>
      </c>
    </row>
    <row r="99" hidden="1" spans="1:9">
      <c r="A99" s="190">
        <v>97</v>
      </c>
      <c r="B99" s="191" t="s">
        <v>137</v>
      </c>
      <c r="C99" s="192" t="s">
        <v>138</v>
      </c>
      <c r="D99" s="192" t="s">
        <v>154</v>
      </c>
      <c r="E99" s="204">
        <v>43</v>
      </c>
      <c r="F99" s="204">
        <v>0</v>
      </c>
      <c r="G99" s="194" t="s">
        <v>377</v>
      </c>
      <c r="H99" s="202">
        <v>0</v>
      </c>
      <c r="I99" s="203">
        <v>13</v>
      </c>
    </row>
    <row r="100" hidden="1" spans="1:9">
      <c r="A100" s="190">
        <v>98</v>
      </c>
      <c r="B100" s="191" t="s">
        <v>137</v>
      </c>
      <c r="C100" s="192" t="s">
        <v>138</v>
      </c>
      <c r="D100" s="192" t="s">
        <v>155</v>
      </c>
      <c r="E100" s="204">
        <v>28</v>
      </c>
      <c r="F100" s="204">
        <v>0</v>
      </c>
      <c r="G100" s="194" t="s">
        <v>377</v>
      </c>
      <c r="H100" s="202">
        <v>0</v>
      </c>
      <c r="I100" s="203">
        <v>14</v>
      </c>
    </row>
    <row r="101" hidden="1" spans="1:9">
      <c r="A101" s="190">
        <v>99</v>
      </c>
      <c r="B101" s="191" t="s">
        <v>137</v>
      </c>
      <c r="C101" s="192" t="s">
        <v>138</v>
      </c>
      <c r="D101" s="192" t="s">
        <v>156</v>
      </c>
      <c r="E101" s="204">
        <v>23</v>
      </c>
      <c r="F101" s="204">
        <v>0</v>
      </c>
      <c r="G101" s="194" t="s">
        <v>377</v>
      </c>
      <c r="H101" s="202">
        <v>0</v>
      </c>
      <c r="I101" s="203">
        <v>10</v>
      </c>
    </row>
    <row r="102" hidden="1" spans="1:9">
      <c r="A102" s="190">
        <v>100</v>
      </c>
      <c r="B102" s="191" t="s">
        <v>137</v>
      </c>
      <c r="C102" s="192" t="s">
        <v>138</v>
      </c>
      <c r="D102" s="192" t="s">
        <v>157</v>
      </c>
      <c r="E102" s="204">
        <v>23</v>
      </c>
      <c r="F102" s="204">
        <v>0</v>
      </c>
      <c r="G102" s="194" t="s">
        <v>377</v>
      </c>
      <c r="H102" s="202">
        <v>0</v>
      </c>
      <c r="I102" s="203">
        <v>10</v>
      </c>
    </row>
    <row r="103" hidden="1" spans="1:9">
      <c r="A103" s="190">
        <v>101</v>
      </c>
      <c r="B103" s="191" t="s">
        <v>137</v>
      </c>
      <c r="C103" s="192" t="s">
        <v>138</v>
      </c>
      <c r="D103" s="192" t="s">
        <v>158</v>
      </c>
      <c r="E103" s="204">
        <v>39</v>
      </c>
      <c r="F103" s="204">
        <v>0</v>
      </c>
      <c r="G103" s="194" t="s">
        <v>377</v>
      </c>
      <c r="H103" s="202">
        <v>0</v>
      </c>
      <c r="I103" s="203">
        <v>10</v>
      </c>
    </row>
    <row r="104" hidden="1" spans="1:9">
      <c r="A104" s="190">
        <v>102</v>
      </c>
      <c r="B104" s="191" t="s">
        <v>137</v>
      </c>
      <c r="C104" s="192" t="s">
        <v>138</v>
      </c>
      <c r="D104" s="192" t="s">
        <v>160</v>
      </c>
      <c r="E104" s="204">
        <v>27</v>
      </c>
      <c r="F104" s="204">
        <v>0</v>
      </c>
      <c r="G104" s="194" t="s">
        <v>377</v>
      </c>
      <c r="H104" s="202">
        <v>0</v>
      </c>
      <c r="I104" s="203">
        <v>11</v>
      </c>
    </row>
    <row r="105" hidden="1" spans="1:9">
      <c r="A105" s="190">
        <v>103</v>
      </c>
      <c r="B105" s="191" t="s">
        <v>137</v>
      </c>
      <c r="C105" s="192" t="s">
        <v>138</v>
      </c>
      <c r="D105" s="192" t="s">
        <v>161</v>
      </c>
      <c r="E105" s="204">
        <v>21</v>
      </c>
      <c r="F105" s="204">
        <v>0</v>
      </c>
      <c r="G105" s="194" t="s">
        <v>377</v>
      </c>
      <c r="H105" s="202">
        <v>0</v>
      </c>
      <c r="I105" s="203">
        <v>13</v>
      </c>
    </row>
    <row r="106" hidden="1" spans="1:9">
      <c r="A106" s="190">
        <v>104</v>
      </c>
      <c r="B106" s="191" t="s">
        <v>137</v>
      </c>
      <c r="C106" s="192" t="s">
        <v>138</v>
      </c>
      <c r="D106" s="205" t="s">
        <v>162</v>
      </c>
      <c r="E106" s="204">
        <v>13</v>
      </c>
      <c r="F106" s="204">
        <v>0</v>
      </c>
      <c r="G106" s="199"/>
      <c r="H106" s="202">
        <v>0</v>
      </c>
      <c r="I106" s="203">
        <v>10</v>
      </c>
    </row>
    <row r="107" hidden="1" spans="1:9">
      <c r="A107" s="190"/>
      <c r="B107" s="191"/>
      <c r="C107" s="191"/>
      <c r="D107" s="192"/>
      <c r="E107" s="199"/>
      <c r="F107" s="199"/>
      <c r="G107" s="199"/>
      <c r="H107" s="191"/>
      <c r="I107" s="200"/>
    </row>
    <row r="108" spans="1:9">
      <c r="A108" s="190">
        <v>105</v>
      </c>
      <c r="B108" s="191" t="s">
        <v>22</v>
      </c>
      <c r="C108" s="192" t="s">
        <v>163</v>
      </c>
      <c r="D108" s="192" t="s">
        <v>164</v>
      </c>
      <c r="E108" s="204">
        <v>75</v>
      </c>
      <c r="F108" s="204">
        <v>168</v>
      </c>
      <c r="G108" s="194" t="s">
        <v>378</v>
      </c>
      <c r="H108" s="202">
        <v>1</v>
      </c>
      <c r="I108" s="203">
        <v>18</v>
      </c>
    </row>
    <row r="109" spans="1:9">
      <c r="A109" s="190">
        <v>106</v>
      </c>
      <c r="B109" s="191" t="s">
        <v>22</v>
      </c>
      <c r="C109" s="192" t="s">
        <v>163</v>
      </c>
      <c r="D109" s="192" t="s">
        <v>166</v>
      </c>
      <c r="E109" s="204">
        <v>107</v>
      </c>
      <c r="F109" s="204">
        <v>176</v>
      </c>
      <c r="G109" s="194" t="s">
        <v>377</v>
      </c>
      <c r="H109" s="202">
        <v>2</v>
      </c>
      <c r="I109" s="203">
        <v>12</v>
      </c>
    </row>
    <row r="110" spans="1:9">
      <c r="A110" s="190">
        <v>107</v>
      </c>
      <c r="B110" s="191" t="s">
        <v>22</v>
      </c>
      <c r="C110" s="192" t="s">
        <v>163</v>
      </c>
      <c r="D110" s="192" t="s">
        <v>167</v>
      </c>
      <c r="E110" s="204">
        <v>62</v>
      </c>
      <c r="F110" s="204">
        <v>120</v>
      </c>
      <c r="G110" s="194" t="s">
        <v>377</v>
      </c>
      <c r="H110" s="202">
        <v>0</v>
      </c>
      <c r="I110" s="203">
        <v>11</v>
      </c>
    </row>
    <row r="111" spans="1:9">
      <c r="A111" s="190">
        <v>108</v>
      </c>
      <c r="B111" s="191" t="s">
        <v>22</v>
      </c>
      <c r="C111" s="192" t="s">
        <v>163</v>
      </c>
      <c r="D111" s="192" t="s">
        <v>168</v>
      </c>
      <c r="E111" s="204">
        <v>100</v>
      </c>
      <c r="F111" s="204">
        <v>160</v>
      </c>
      <c r="G111" s="194" t="s">
        <v>377</v>
      </c>
      <c r="H111" s="202">
        <v>1</v>
      </c>
      <c r="I111" s="203">
        <v>12</v>
      </c>
    </row>
    <row r="112" spans="1:9">
      <c r="A112" s="190">
        <v>109</v>
      </c>
      <c r="B112" s="191" t="s">
        <v>22</v>
      </c>
      <c r="C112" s="192" t="s">
        <v>163</v>
      </c>
      <c r="D112" s="192" t="s">
        <v>169</v>
      </c>
      <c r="E112" s="204">
        <v>78</v>
      </c>
      <c r="F112" s="204">
        <v>144</v>
      </c>
      <c r="G112" s="194" t="s">
        <v>377</v>
      </c>
      <c r="H112" s="202">
        <v>0</v>
      </c>
      <c r="I112" s="203">
        <v>19</v>
      </c>
    </row>
    <row r="113" spans="1:9">
      <c r="A113" s="190">
        <v>110</v>
      </c>
      <c r="B113" s="191" t="s">
        <v>22</v>
      </c>
      <c r="C113" s="192" t="s">
        <v>163</v>
      </c>
      <c r="D113" s="192" t="s">
        <v>171</v>
      </c>
      <c r="E113" s="204">
        <v>30</v>
      </c>
      <c r="F113" s="204">
        <v>80</v>
      </c>
      <c r="G113" s="194" t="s">
        <v>377</v>
      </c>
      <c r="H113" s="202">
        <v>1</v>
      </c>
      <c r="I113" s="203">
        <v>7</v>
      </c>
    </row>
    <row r="114" spans="1:9">
      <c r="A114" s="190">
        <v>111</v>
      </c>
      <c r="B114" s="191" t="s">
        <v>22</v>
      </c>
      <c r="C114" s="192" t="s">
        <v>163</v>
      </c>
      <c r="D114" s="192" t="s">
        <v>172</v>
      </c>
      <c r="E114" s="204">
        <v>55</v>
      </c>
      <c r="F114" s="204">
        <v>112</v>
      </c>
      <c r="G114" s="194" t="s">
        <v>377</v>
      </c>
      <c r="H114" s="202">
        <v>2</v>
      </c>
      <c r="I114" s="203">
        <v>9</v>
      </c>
    </row>
    <row r="115" spans="1:9">
      <c r="A115" s="190">
        <v>112</v>
      </c>
      <c r="B115" s="191" t="s">
        <v>22</v>
      </c>
      <c r="C115" s="192" t="s">
        <v>163</v>
      </c>
      <c r="D115" s="192" t="s">
        <v>173</v>
      </c>
      <c r="E115" s="204">
        <v>69</v>
      </c>
      <c r="F115" s="204">
        <v>128</v>
      </c>
      <c r="G115" s="194" t="s">
        <v>378</v>
      </c>
      <c r="H115" s="202">
        <v>0</v>
      </c>
      <c r="I115" s="203">
        <v>18</v>
      </c>
    </row>
    <row r="116" spans="1:9">
      <c r="A116" s="190">
        <v>113</v>
      </c>
      <c r="B116" s="191" t="s">
        <v>22</v>
      </c>
      <c r="C116" s="192" t="s">
        <v>163</v>
      </c>
      <c r="D116" s="192" t="s">
        <v>174</v>
      </c>
      <c r="E116" s="204">
        <v>54</v>
      </c>
      <c r="F116" s="204">
        <v>128</v>
      </c>
      <c r="G116" s="194" t="s">
        <v>377</v>
      </c>
      <c r="H116" s="202">
        <v>1</v>
      </c>
      <c r="I116" s="203">
        <v>21</v>
      </c>
    </row>
    <row r="117" spans="1:9">
      <c r="A117" s="190">
        <v>114</v>
      </c>
      <c r="B117" s="191" t="s">
        <v>22</v>
      </c>
      <c r="C117" s="192" t="s">
        <v>163</v>
      </c>
      <c r="D117" s="192" t="s">
        <v>175</v>
      </c>
      <c r="E117" s="204">
        <v>65</v>
      </c>
      <c r="F117" s="204">
        <v>120</v>
      </c>
      <c r="G117" s="194" t="s">
        <v>377</v>
      </c>
      <c r="H117" s="202">
        <v>2</v>
      </c>
      <c r="I117" s="203">
        <v>7</v>
      </c>
    </row>
    <row r="118" spans="1:9">
      <c r="A118" s="190">
        <v>115</v>
      </c>
      <c r="B118" s="191" t="s">
        <v>22</v>
      </c>
      <c r="C118" s="192" t="s">
        <v>163</v>
      </c>
      <c r="D118" s="192" t="s">
        <v>176</v>
      </c>
      <c r="E118" s="204">
        <v>75</v>
      </c>
      <c r="F118" s="204">
        <v>144</v>
      </c>
      <c r="G118" s="194" t="s">
        <v>377</v>
      </c>
      <c r="H118" s="202">
        <v>0</v>
      </c>
      <c r="I118" s="203">
        <v>19</v>
      </c>
    </row>
    <row r="119" spans="1:9">
      <c r="A119" s="190">
        <v>116</v>
      </c>
      <c r="B119" s="191" t="s">
        <v>22</v>
      </c>
      <c r="C119" s="192" t="s">
        <v>163</v>
      </c>
      <c r="D119" s="192" t="s">
        <v>177</v>
      </c>
      <c r="E119" s="204">
        <v>40</v>
      </c>
      <c r="F119" s="204">
        <v>80</v>
      </c>
      <c r="G119" s="194" t="s">
        <v>378</v>
      </c>
      <c r="H119" s="202">
        <v>0</v>
      </c>
      <c r="I119" s="203">
        <v>7</v>
      </c>
    </row>
    <row r="120" spans="1:9">
      <c r="A120" s="190">
        <v>117</v>
      </c>
      <c r="B120" s="191" t="s">
        <v>22</v>
      </c>
      <c r="C120" s="192" t="s">
        <v>163</v>
      </c>
      <c r="D120" s="192" t="s">
        <v>178</v>
      </c>
      <c r="E120" s="204">
        <v>63</v>
      </c>
      <c r="F120" s="204">
        <v>104</v>
      </c>
      <c r="G120" s="194" t="s">
        <v>378</v>
      </c>
      <c r="H120" s="202">
        <v>0</v>
      </c>
      <c r="I120" s="203">
        <v>22</v>
      </c>
    </row>
    <row r="121" spans="1:9">
      <c r="A121" s="190">
        <v>118</v>
      </c>
      <c r="B121" s="191" t="s">
        <v>22</v>
      </c>
      <c r="C121" s="192" t="s">
        <v>163</v>
      </c>
      <c r="D121" s="192" t="s">
        <v>179</v>
      </c>
      <c r="E121" s="204">
        <v>63</v>
      </c>
      <c r="F121" s="204">
        <v>120</v>
      </c>
      <c r="G121" s="194" t="s">
        <v>378</v>
      </c>
      <c r="H121" s="202">
        <v>1</v>
      </c>
      <c r="I121" s="203">
        <v>11</v>
      </c>
    </row>
    <row r="122" spans="1:9">
      <c r="A122" s="190">
        <v>119</v>
      </c>
      <c r="B122" s="191" t="s">
        <v>22</v>
      </c>
      <c r="C122" s="192" t="s">
        <v>163</v>
      </c>
      <c r="D122" s="192" t="s">
        <v>180</v>
      </c>
      <c r="E122" s="204">
        <v>69</v>
      </c>
      <c r="F122" s="204">
        <v>120</v>
      </c>
      <c r="G122" s="194" t="s">
        <v>377</v>
      </c>
      <c r="H122" s="202">
        <v>1</v>
      </c>
      <c r="I122" s="203">
        <v>11</v>
      </c>
    </row>
    <row r="123" spans="1:9">
      <c r="A123" s="190">
        <v>120</v>
      </c>
      <c r="B123" s="191" t="s">
        <v>22</v>
      </c>
      <c r="C123" s="192" t="s">
        <v>163</v>
      </c>
      <c r="D123" s="192" t="s">
        <v>181</v>
      </c>
      <c r="E123" s="204">
        <v>67</v>
      </c>
      <c r="F123" s="204">
        <v>112</v>
      </c>
      <c r="G123" s="194" t="s">
        <v>377</v>
      </c>
      <c r="H123" s="202">
        <v>0</v>
      </c>
      <c r="I123" s="203">
        <v>21</v>
      </c>
    </row>
    <row r="124" spans="1:9">
      <c r="A124" s="190">
        <v>121</v>
      </c>
      <c r="B124" s="191" t="s">
        <v>22</v>
      </c>
      <c r="C124" s="192" t="s">
        <v>163</v>
      </c>
      <c r="D124" s="192" t="s">
        <v>182</v>
      </c>
      <c r="E124" s="204">
        <v>70</v>
      </c>
      <c r="F124" s="204">
        <v>120</v>
      </c>
      <c r="G124" s="194" t="s">
        <v>377</v>
      </c>
      <c r="H124" s="202">
        <v>1</v>
      </c>
      <c r="I124" s="203">
        <v>9</v>
      </c>
    </row>
    <row r="125" spans="1:9">
      <c r="A125" s="190">
        <v>122</v>
      </c>
      <c r="B125" s="191" t="s">
        <v>22</v>
      </c>
      <c r="C125" s="192" t="s">
        <v>163</v>
      </c>
      <c r="D125" s="192" t="s">
        <v>183</v>
      </c>
      <c r="E125" s="204">
        <v>60</v>
      </c>
      <c r="F125" s="204">
        <v>120</v>
      </c>
      <c r="G125" s="194" t="s">
        <v>378</v>
      </c>
      <c r="H125" s="202">
        <v>1</v>
      </c>
      <c r="I125" s="203">
        <v>19</v>
      </c>
    </row>
    <row r="126" spans="1:9">
      <c r="A126" s="190">
        <v>123</v>
      </c>
      <c r="B126" s="191" t="s">
        <v>22</v>
      </c>
      <c r="C126" s="192" t="s">
        <v>163</v>
      </c>
      <c r="D126" s="192" t="s">
        <v>184</v>
      </c>
      <c r="E126" s="204">
        <v>44</v>
      </c>
      <c r="F126" s="204">
        <v>88</v>
      </c>
      <c r="G126" s="194" t="s">
        <v>378</v>
      </c>
      <c r="H126" s="202">
        <v>1</v>
      </c>
      <c r="I126" s="203">
        <v>18</v>
      </c>
    </row>
    <row r="127" spans="1:9">
      <c r="A127" s="190">
        <v>124</v>
      </c>
      <c r="B127" s="191" t="s">
        <v>22</v>
      </c>
      <c r="C127" s="192" t="s">
        <v>163</v>
      </c>
      <c r="D127" s="192" t="s">
        <v>185</v>
      </c>
      <c r="E127" s="204">
        <v>90</v>
      </c>
      <c r="F127" s="204">
        <v>160</v>
      </c>
      <c r="G127" s="194" t="s">
        <v>378</v>
      </c>
      <c r="H127" s="202">
        <v>0</v>
      </c>
      <c r="I127" s="203">
        <v>22</v>
      </c>
    </row>
    <row r="128" spans="1:9">
      <c r="A128" s="190">
        <v>125</v>
      </c>
      <c r="B128" s="191" t="s">
        <v>22</v>
      </c>
      <c r="C128" s="192" t="s">
        <v>163</v>
      </c>
      <c r="D128" s="192" t="s">
        <v>186</v>
      </c>
      <c r="E128" s="204">
        <v>70</v>
      </c>
      <c r="F128" s="204">
        <v>120</v>
      </c>
      <c r="G128" s="194" t="s">
        <v>377</v>
      </c>
      <c r="H128" s="202">
        <v>0</v>
      </c>
      <c r="I128" s="203">
        <v>14</v>
      </c>
    </row>
    <row r="129" spans="1:9">
      <c r="A129" s="190">
        <v>126</v>
      </c>
      <c r="B129" s="191" t="s">
        <v>22</v>
      </c>
      <c r="C129" s="192" t="s">
        <v>163</v>
      </c>
      <c r="D129" s="192" t="s">
        <v>187</v>
      </c>
      <c r="E129" s="204">
        <v>72</v>
      </c>
      <c r="F129" s="204">
        <v>136</v>
      </c>
      <c r="G129" s="194" t="s">
        <v>377</v>
      </c>
      <c r="H129" s="202">
        <v>2</v>
      </c>
      <c r="I129" s="203">
        <v>15</v>
      </c>
    </row>
    <row r="130" spans="1:9">
      <c r="A130" s="190">
        <v>127</v>
      </c>
      <c r="B130" s="191" t="s">
        <v>22</v>
      </c>
      <c r="C130" s="192" t="s">
        <v>163</v>
      </c>
      <c r="D130" s="192" t="s">
        <v>188</v>
      </c>
      <c r="E130" s="204">
        <v>61</v>
      </c>
      <c r="F130" s="204">
        <v>120</v>
      </c>
      <c r="G130" s="194" t="s">
        <v>377</v>
      </c>
      <c r="H130" s="202">
        <v>0</v>
      </c>
      <c r="I130" s="203">
        <v>13</v>
      </c>
    </row>
    <row r="131" spans="1:9">
      <c r="A131" s="190">
        <v>128</v>
      </c>
      <c r="B131" s="191" t="s">
        <v>22</v>
      </c>
      <c r="C131" s="192" t="s">
        <v>163</v>
      </c>
      <c r="D131" s="192" t="s">
        <v>189</v>
      </c>
      <c r="E131" s="204">
        <v>62</v>
      </c>
      <c r="F131" s="204">
        <v>120</v>
      </c>
      <c r="G131" s="194" t="s">
        <v>378</v>
      </c>
      <c r="H131" s="202">
        <v>2</v>
      </c>
      <c r="I131" s="203">
        <v>22</v>
      </c>
    </row>
    <row r="132" spans="1:9">
      <c r="A132" s="190">
        <v>129</v>
      </c>
      <c r="B132" s="191" t="s">
        <v>22</v>
      </c>
      <c r="C132" s="192" t="s">
        <v>163</v>
      </c>
      <c r="D132" s="192" t="s">
        <v>190</v>
      </c>
      <c r="E132" s="204">
        <v>83</v>
      </c>
      <c r="F132" s="204">
        <v>144</v>
      </c>
      <c r="G132" s="194" t="s">
        <v>378</v>
      </c>
      <c r="H132" s="202">
        <v>0</v>
      </c>
      <c r="I132" s="203">
        <v>30</v>
      </c>
    </row>
    <row r="133" spans="1:9">
      <c r="A133" s="190">
        <v>130</v>
      </c>
      <c r="B133" s="191" t="s">
        <v>22</v>
      </c>
      <c r="C133" s="192" t="s">
        <v>163</v>
      </c>
      <c r="D133" s="192" t="s">
        <v>191</v>
      </c>
      <c r="E133" s="204">
        <v>50</v>
      </c>
      <c r="F133" s="204">
        <v>96</v>
      </c>
      <c r="G133" s="194" t="s">
        <v>378</v>
      </c>
      <c r="H133" s="202">
        <v>1</v>
      </c>
      <c r="I133" s="203">
        <v>13</v>
      </c>
    </row>
    <row r="134" spans="1:9">
      <c r="A134" s="190">
        <v>131</v>
      </c>
      <c r="B134" s="191" t="s">
        <v>22</v>
      </c>
      <c r="C134" s="192" t="s">
        <v>163</v>
      </c>
      <c r="D134" s="192" t="s">
        <v>192</v>
      </c>
      <c r="E134" s="204">
        <v>59</v>
      </c>
      <c r="F134" s="204">
        <v>112</v>
      </c>
      <c r="G134" s="194" t="s">
        <v>377</v>
      </c>
      <c r="H134" s="202">
        <v>0</v>
      </c>
      <c r="I134" s="203">
        <v>21</v>
      </c>
    </row>
    <row r="135" spans="1:9">
      <c r="A135" s="190">
        <v>132</v>
      </c>
      <c r="B135" s="191" t="s">
        <v>22</v>
      </c>
      <c r="C135" s="192" t="s">
        <v>163</v>
      </c>
      <c r="D135" s="192" t="s">
        <v>193</v>
      </c>
      <c r="E135" s="204">
        <v>87</v>
      </c>
      <c r="F135" s="204">
        <v>168</v>
      </c>
      <c r="G135" s="194" t="s">
        <v>377</v>
      </c>
      <c r="H135" s="202">
        <v>0</v>
      </c>
      <c r="I135" s="203">
        <v>34</v>
      </c>
    </row>
    <row r="136" hidden="1" spans="1:9">
      <c r="A136" s="190"/>
      <c r="B136" s="191"/>
      <c r="C136" s="191"/>
      <c r="D136" s="192"/>
      <c r="E136" s="199"/>
      <c r="F136" s="199"/>
      <c r="G136" s="199"/>
      <c r="H136" s="191"/>
      <c r="I136" s="200"/>
    </row>
    <row r="137" hidden="1" spans="1:9">
      <c r="A137" s="190">
        <v>134</v>
      </c>
      <c r="B137" s="191" t="s">
        <v>137</v>
      </c>
      <c r="C137" s="192" t="s">
        <v>194</v>
      </c>
      <c r="D137" s="192" t="s">
        <v>195</v>
      </c>
      <c r="E137" s="204">
        <v>62</v>
      </c>
      <c r="F137" s="204">
        <v>0</v>
      </c>
      <c r="G137" s="194" t="s">
        <v>377</v>
      </c>
      <c r="H137" s="206">
        <v>0</v>
      </c>
      <c r="I137" s="203">
        <v>11</v>
      </c>
    </row>
    <row r="138" hidden="1" spans="1:9">
      <c r="A138" s="190">
        <v>135</v>
      </c>
      <c r="B138" s="191" t="s">
        <v>137</v>
      </c>
      <c r="C138" s="192" t="s">
        <v>194</v>
      </c>
      <c r="D138" s="192" t="s">
        <v>199</v>
      </c>
      <c r="E138" s="204">
        <v>171</v>
      </c>
      <c r="F138" s="204">
        <v>0</v>
      </c>
      <c r="G138" s="194" t="s">
        <v>377</v>
      </c>
      <c r="H138" s="206">
        <v>1</v>
      </c>
      <c r="I138" s="203">
        <v>37</v>
      </c>
    </row>
    <row r="139" hidden="1" spans="1:9">
      <c r="A139" s="190">
        <v>136</v>
      </c>
      <c r="B139" s="191" t="s">
        <v>137</v>
      </c>
      <c r="C139" s="192" t="s">
        <v>194</v>
      </c>
      <c r="D139" s="192" t="s">
        <v>201</v>
      </c>
      <c r="E139" s="204">
        <v>64</v>
      </c>
      <c r="F139" s="204">
        <v>0</v>
      </c>
      <c r="G139" s="194" t="s">
        <v>377</v>
      </c>
      <c r="H139" s="206">
        <v>0</v>
      </c>
      <c r="I139" s="203">
        <v>13</v>
      </c>
    </row>
    <row r="140" hidden="1" spans="1:9">
      <c r="A140" s="190">
        <v>137</v>
      </c>
      <c r="B140" s="191" t="s">
        <v>137</v>
      </c>
      <c r="C140" s="192" t="s">
        <v>194</v>
      </c>
      <c r="D140" s="192" t="s">
        <v>203</v>
      </c>
      <c r="E140" s="204">
        <v>53</v>
      </c>
      <c r="F140" s="204">
        <v>0</v>
      </c>
      <c r="G140" s="194" t="s">
        <v>378</v>
      </c>
      <c r="H140" s="206">
        <v>0</v>
      </c>
      <c r="I140" s="203">
        <v>10</v>
      </c>
    </row>
    <row r="141" hidden="1" spans="1:9">
      <c r="A141" s="190">
        <v>138</v>
      </c>
      <c r="B141" s="191" t="s">
        <v>137</v>
      </c>
      <c r="C141" s="192" t="s">
        <v>194</v>
      </c>
      <c r="D141" s="192" t="s">
        <v>205</v>
      </c>
      <c r="E141" s="204">
        <v>55</v>
      </c>
      <c r="F141" s="204">
        <v>0</v>
      </c>
      <c r="G141" s="194" t="s">
        <v>377</v>
      </c>
      <c r="H141" s="206">
        <v>0</v>
      </c>
      <c r="I141" s="203">
        <v>14</v>
      </c>
    </row>
    <row r="142" hidden="1" spans="1:9">
      <c r="A142" s="190">
        <v>139</v>
      </c>
      <c r="B142" s="191" t="s">
        <v>137</v>
      </c>
      <c r="C142" s="192" t="s">
        <v>194</v>
      </c>
      <c r="D142" s="192" t="s">
        <v>207</v>
      </c>
      <c r="E142" s="204">
        <v>74</v>
      </c>
      <c r="F142" s="204">
        <v>0</v>
      </c>
      <c r="G142" s="194" t="s">
        <v>377</v>
      </c>
      <c r="H142" s="206">
        <v>0</v>
      </c>
      <c r="I142" s="203">
        <v>6</v>
      </c>
    </row>
    <row r="143" hidden="1" spans="1:9">
      <c r="A143" s="190">
        <v>140</v>
      </c>
      <c r="B143" s="191" t="s">
        <v>137</v>
      </c>
      <c r="C143" s="192" t="s">
        <v>194</v>
      </c>
      <c r="D143" s="192" t="s">
        <v>209</v>
      </c>
      <c r="E143" s="204">
        <v>71</v>
      </c>
      <c r="F143" s="204">
        <v>0</v>
      </c>
      <c r="G143" s="194" t="s">
        <v>378</v>
      </c>
      <c r="H143" s="206">
        <v>0</v>
      </c>
      <c r="I143" s="203">
        <v>10</v>
      </c>
    </row>
    <row r="144" hidden="1" spans="1:9">
      <c r="A144" s="190">
        <v>141</v>
      </c>
      <c r="B144" s="191" t="s">
        <v>137</v>
      </c>
      <c r="C144" s="192" t="s">
        <v>194</v>
      </c>
      <c r="D144" s="192" t="s">
        <v>211</v>
      </c>
      <c r="E144" s="204">
        <v>59</v>
      </c>
      <c r="F144" s="204">
        <v>0</v>
      </c>
      <c r="G144" s="194" t="s">
        <v>378</v>
      </c>
      <c r="H144" s="206">
        <v>0</v>
      </c>
      <c r="I144" s="203">
        <v>11</v>
      </c>
    </row>
    <row r="145" hidden="1" spans="1:9">
      <c r="A145" s="190">
        <v>142</v>
      </c>
      <c r="B145" s="191" t="s">
        <v>137</v>
      </c>
      <c r="C145" s="192" t="s">
        <v>194</v>
      </c>
      <c r="D145" s="192" t="s">
        <v>213</v>
      </c>
      <c r="E145" s="204">
        <v>73</v>
      </c>
      <c r="F145" s="204">
        <v>0</v>
      </c>
      <c r="G145" s="194" t="s">
        <v>377</v>
      </c>
      <c r="H145" s="206">
        <v>0</v>
      </c>
      <c r="I145" s="203">
        <v>5</v>
      </c>
    </row>
    <row r="146" hidden="1" spans="1:9">
      <c r="A146" s="190">
        <v>143</v>
      </c>
      <c r="B146" s="191" t="s">
        <v>137</v>
      </c>
      <c r="C146" s="192" t="s">
        <v>194</v>
      </c>
      <c r="D146" s="192" t="s">
        <v>215</v>
      </c>
      <c r="E146" s="204">
        <v>79</v>
      </c>
      <c r="F146" s="204">
        <v>0</v>
      </c>
      <c r="G146" s="194" t="s">
        <v>377</v>
      </c>
      <c r="H146" s="206">
        <v>0</v>
      </c>
      <c r="I146" s="203">
        <v>15</v>
      </c>
    </row>
    <row r="147" hidden="1" spans="1:9">
      <c r="A147" s="190">
        <v>144</v>
      </c>
      <c r="B147" s="191" t="s">
        <v>137</v>
      </c>
      <c r="C147" s="192" t="s">
        <v>194</v>
      </c>
      <c r="D147" s="192" t="s">
        <v>217</v>
      </c>
      <c r="E147" s="204">
        <v>60</v>
      </c>
      <c r="F147" s="204">
        <v>0</v>
      </c>
      <c r="G147" s="194" t="s">
        <v>377</v>
      </c>
      <c r="H147" s="206">
        <v>0</v>
      </c>
      <c r="I147" s="203">
        <v>14</v>
      </c>
    </row>
    <row r="148" hidden="1" spans="1:9">
      <c r="A148" s="190">
        <v>145</v>
      </c>
      <c r="B148" s="191" t="s">
        <v>137</v>
      </c>
      <c r="C148" s="192" t="s">
        <v>194</v>
      </c>
      <c r="D148" s="192" t="s">
        <v>220</v>
      </c>
      <c r="E148" s="204">
        <v>39</v>
      </c>
      <c r="F148" s="204">
        <v>0</v>
      </c>
      <c r="G148" s="194" t="s">
        <v>378</v>
      </c>
      <c r="H148" s="206">
        <v>0</v>
      </c>
      <c r="I148" s="203">
        <v>12</v>
      </c>
    </row>
    <row r="149" hidden="1" spans="1:9">
      <c r="A149" s="190">
        <v>146</v>
      </c>
      <c r="B149" s="191" t="s">
        <v>137</v>
      </c>
      <c r="C149" s="192" t="s">
        <v>194</v>
      </c>
      <c r="D149" s="192" t="s">
        <v>222</v>
      </c>
      <c r="E149" s="204">
        <v>49</v>
      </c>
      <c r="F149" s="204">
        <v>0</v>
      </c>
      <c r="G149" s="194" t="s">
        <v>377</v>
      </c>
      <c r="H149" s="206">
        <v>0</v>
      </c>
      <c r="I149" s="203">
        <v>7</v>
      </c>
    </row>
    <row r="150" hidden="1" spans="1:9">
      <c r="A150" s="190">
        <v>147</v>
      </c>
      <c r="B150" s="191" t="s">
        <v>137</v>
      </c>
      <c r="C150" s="192" t="s">
        <v>194</v>
      </c>
      <c r="D150" s="192" t="s">
        <v>224</v>
      </c>
      <c r="E150" s="204">
        <v>51</v>
      </c>
      <c r="F150" s="204">
        <v>0</v>
      </c>
      <c r="G150" s="194" t="s">
        <v>378</v>
      </c>
      <c r="H150" s="206">
        <v>0</v>
      </c>
      <c r="I150" s="203">
        <v>13</v>
      </c>
    </row>
    <row r="151" hidden="1" spans="1:9">
      <c r="A151" s="190">
        <v>148</v>
      </c>
      <c r="B151" s="191" t="s">
        <v>137</v>
      </c>
      <c r="C151" s="192" t="s">
        <v>194</v>
      </c>
      <c r="D151" s="192" t="s">
        <v>226</v>
      </c>
      <c r="E151" s="204">
        <v>71</v>
      </c>
      <c r="F151" s="204">
        <v>0</v>
      </c>
      <c r="G151" s="194" t="s">
        <v>377</v>
      </c>
      <c r="H151" s="206">
        <v>0</v>
      </c>
      <c r="I151" s="203">
        <v>16</v>
      </c>
    </row>
    <row r="152" hidden="1" spans="1:9">
      <c r="A152" s="190">
        <v>149</v>
      </c>
      <c r="B152" s="191" t="s">
        <v>137</v>
      </c>
      <c r="C152" s="192" t="s">
        <v>194</v>
      </c>
      <c r="D152" s="192" t="s">
        <v>228</v>
      </c>
      <c r="E152" s="204">
        <v>59</v>
      </c>
      <c r="F152" s="204">
        <v>0</v>
      </c>
      <c r="G152" s="194" t="s">
        <v>377</v>
      </c>
      <c r="H152" s="206">
        <v>0</v>
      </c>
      <c r="I152" s="203">
        <v>18</v>
      </c>
    </row>
    <row r="153" hidden="1" spans="1:9">
      <c r="A153" s="190">
        <v>150</v>
      </c>
      <c r="B153" s="191" t="s">
        <v>137</v>
      </c>
      <c r="C153" s="192" t="s">
        <v>194</v>
      </c>
      <c r="D153" s="192" t="s">
        <v>229</v>
      </c>
      <c r="E153" s="204">
        <v>51</v>
      </c>
      <c r="F153" s="204">
        <v>0</v>
      </c>
      <c r="G153" s="194" t="s">
        <v>377</v>
      </c>
      <c r="H153" s="206">
        <v>0</v>
      </c>
      <c r="I153" s="203">
        <v>6</v>
      </c>
    </row>
    <row r="154" hidden="1" spans="1:9">
      <c r="A154" s="190">
        <v>151</v>
      </c>
      <c r="B154" s="191" t="s">
        <v>137</v>
      </c>
      <c r="C154" s="192" t="s">
        <v>194</v>
      </c>
      <c r="D154" s="192" t="s">
        <v>231</v>
      </c>
      <c r="E154" s="204">
        <v>71</v>
      </c>
      <c r="F154" s="204">
        <v>0</v>
      </c>
      <c r="G154" s="194" t="s">
        <v>377</v>
      </c>
      <c r="H154" s="206">
        <v>0</v>
      </c>
      <c r="I154" s="203">
        <v>10</v>
      </c>
    </row>
    <row r="155" hidden="1" spans="1:9">
      <c r="A155" s="190">
        <v>152</v>
      </c>
      <c r="B155" s="191" t="s">
        <v>137</v>
      </c>
      <c r="C155" s="192" t="s">
        <v>194</v>
      </c>
      <c r="D155" s="192" t="s">
        <v>232</v>
      </c>
      <c r="E155" s="204">
        <v>51</v>
      </c>
      <c r="F155" s="204">
        <v>0</v>
      </c>
      <c r="G155" s="194" t="s">
        <v>377</v>
      </c>
      <c r="H155" s="206">
        <v>0</v>
      </c>
      <c r="I155" s="203">
        <v>8</v>
      </c>
    </row>
    <row r="156" hidden="1" spans="1:9">
      <c r="A156" s="190">
        <v>153</v>
      </c>
      <c r="B156" s="191" t="s">
        <v>137</v>
      </c>
      <c r="C156" s="192" t="s">
        <v>194</v>
      </c>
      <c r="D156" s="192" t="s">
        <v>233</v>
      </c>
      <c r="E156" s="204">
        <v>54</v>
      </c>
      <c r="F156" s="204">
        <v>0</v>
      </c>
      <c r="G156" s="194" t="s">
        <v>377</v>
      </c>
      <c r="H156" s="206">
        <v>0</v>
      </c>
      <c r="I156" s="203">
        <v>9</v>
      </c>
    </row>
    <row r="157" hidden="1" spans="1:9">
      <c r="A157" s="190">
        <v>154</v>
      </c>
      <c r="B157" s="191" t="s">
        <v>137</v>
      </c>
      <c r="C157" s="192" t="s">
        <v>194</v>
      </c>
      <c r="D157" s="192" t="s">
        <v>234</v>
      </c>
      <c r="E157" s="204">
        <v>64</v>
      </c>
      <c r="F157" s="204">
        <v>0</v>
      </c>
      <c r="G157" s="194" t="s">
        <v>378</v>
      </c>
      <c r="H157" s="206">
        <v>0</v>
      </c>
      <c r="I157" s="203">
        <v>4</v>
      </c>
    </row>
    <row r="158" hidden="1" spans="1:9">
      <c r="A158" s="190">
        <v>155</v>
      </c>
      <c r="B158" s="191" t="s">
        <v>137</v>
      </c>
      <c r="C158" s="192" t="s">
        <v>194</v>
      </c>
      <c r="D158" s="192" t="s">
        <v>235</v>
      </c>
      <c r="E158" s="204">
        <v>50</v>
      </c>
      <c r="F158" s="204">
        <v>0</v>
      </c>
      <c r="G158" s="194" t="s">
        <v>377</v>
      </c>
      <c r="H158" s="206">
        <v>0</v>
      </c>
      <c r="I158" s="203">
        <v>8</v>
      </c>
    </row>
    <row r="159" hidden="1" spans="1:9">
      <c r="A159" s="190">
        <v>156</v>
      </c>
      <c r="B159" s="191" t="s">
        <v>137</v>
      </c>
      <c r="C159" s="192" t="s">
        <v>194</v>
      </c>
      <c r="D159" s="192" t="s">
        <v>236</v>
      </c>
      <c r="E159" s="204">
        <v>63</v>
      </c>
      <c r="F159" s="204">
        <v>0</v>
      </c>
      <c r="G159" s="194" t="s">
        <v>377</v>
      </c>
      <c r="H159" s="206">
        <v>0</v>
      </c>
      <c r="I159" s="203">
        <v>9</v>
      </c>
    </row>
    <row r="160" hidden="1" spans="1:9">
      <c r="A160" s="190">
        <v>157</v>
      </c>
      <c r="B160" s="191" t="s">
        <v>137</v>
      </c>
      <c r="C160" s="192" t="s">
        <v>194</v>
      </c>
      <c r="D160" s="192" t="s">
        <v>237</v>
      </c>
      <c r="E160" s="204">
        <v>109</v>
      </c>
      <c r="F160" s="204">
        <v>0</v>
      </c>
      <c r="G160" s="194" t="s">
        <v>377</v>
      </c>
      <c r="H160" s="206">
        <v>0</v>
      </c>
      <c r="I160" s="203">
        <v>12</v>
      </c>
    </row>
    <row r="161" hidden="1" spans="1:9">
      <c r="A161" s="190">
        <v>158</v>
      </c>
      <c r="B161" s="191" t="s">
        <v>137</v>
      </c>
      <c r="C161" s="192" t="s">
        <v>194</v>
      </c>
      <c r="D161" s="192" t="s">
        <v>238</v>
      </c>
      <c r="E161" s="204">
        <v>48</v>
      </c>
      <c r="F161" s="204">
        <v>0</v>
      </c>
      <c r="G161" s="194" t="s">
        <v>378</v>
      </c>
      <c r="H161" s="206">
        <v>0</v>
      </c>
      <c r="I161" s="203">
        <v>7</v>
      </c>
    </row>
    <row r="162" hidden="1" spans="1:9">
      <c r="A162" s="190">
        <v>159</v>
      </c>
      <c r="B162" s="191" t="s">
        <v>137</v>
      </c>
      <c r="C162" s="192" t="s">
        <v>194</v>
      </c>
      <c r="D162" s="192" t="s">
        <v>239</v>
      </c>
      <c r="E162" s="204">
        <v>39</v>
      </c>
      <c r="F162" s="204">
        <v>0</v>
      </c>
      <c r="G162" s="194" t="s">
        <v>378</v>
      </c>
      <c r="H162" s="206">
        <v>0</v>
      </c>
      <c r="I162" s="203">
        <v>6</v>
      </c>
    </row>
    <row r="163" hidden="1" spans="1:9">
      <c r="A163" s="190">
        <v>160</v>
      </c>
      <c r="B163" s="191" t="s">
        <v>137</v>
      </c>
      <c r="C163" s="192" t="s">
        <v>194</v>
      </c>
      <c r="D163" s="192" t="s">
        <v>240</v>
      </c>
      <c r="E163" s="204">
        <v>50</v>
      </c>
      <c r="F163" s="204">
        <v>0</v>
      </c>
      <c r="G163" s="194" t="s">
        <v>378</v>
      </c>
      <c r="H163" s="206">
        <v>0</v>
      </c>
      <c r="I163" s="203">
        <v>14</v>
      </c>
    </row>
    <row r="164" hidden="1" spans="1:9">
      <c r="A164" s="190"/>
      <c r="B164" s="191"/>
      <c r="C164" s="191"/>
      <c r="D164" s="192"/>
      <c r="E164" s="199"/>
      <c r="F164" s="199"/>
      <c r="G164" s="199"/>
      <c r="H164" s="191"/>
      <c r="I164" s="200"/>
    </row>
    <row r="165" hidden="1" spans="1:9">
      <c r="A165" s="190">
        <v>162</v>
      </c>
      <c r="B165" s="191" t="s">
        <v>22</v>
      </c>
      <c r="C165" s="192" t="s">
        <v>241</v>
      </c>
      <c r="D165" s="192" t="s">
        <v>242</v>
      </c>
      <c r="E165" s="204">
        <v>4</v>
      </c>
      <c r="F165" s="204">
        <v>4</v>
      </c>
      <c r="G165" s="194" t="s">
        <v>377</v>
      </c>
      <c r="H165" s="206">
        <v>1</v>
      </c>
      <c r="I165" s="203">
        <v>28</v>
      </c>
    </row>
    <row r="166" hidden="1" spans="1:9">
      <c r="A166" s="190">
        <v>163</v>
      </c>
      <c r="B166" s="191" t="s">
        <v>22</v>
      </c>
      <c r="C166" s="192" t="s">
        <v>241</v>
      </c>
      <c r="D166" s="192" t="s">
        <v>243</v>
      </c>
      <c r="E166" s="204">
        <v>4</v>
      </c>
      <c r="F166" s="204">
        <v>1</v>
      </c>
      <c r="G166" s="194" t="s">
        <v>377</v>
      </c>
      <c r="H166" s="206">
        <v>0</v>
      </c>
      <c r="I166" s="203">
        <v>18</v>
      </c>
    </row>
    <row r="167" hidden="1" spans="1:9">
      <c r="A167" s="190">
        <v>164</v>
      </c>
      <c r="B167" s="191" t="s">
        <v>22</v>
      </c>
      <c r="C167" s="192" t="s">
        <v>241</v>
      </c>
      <c r="D167" s="192" t="s">
        <v>244</v>
      </c>
      <c r="E167" s="204">
        <v>4</v>
      </c>
      <c r="F167" s="204">
        <v>4</v>
      </c>
      <c r="G167" s="194" t="s">
        <v>377</v>
      </c>
      <c r="H167" s="206">
        <v>1</v>
      </c>
      <c r="I167" s="203">
        <v>10</v>
      </c>
    </row>
    <row r="168" hidden="1" spans="1:9">
      <c r="A168" s="190">
        <v>165</v>
      </c>
      <c r="B168" s="191" t="s">
        <v>22</v>
      </c>
      <c r="C168" s="192" t="s">
        <v>241</v>
      </c>
      <c r="D168" s="192" t="s">
        <v>245</v>
      </c>
      <c r="E168" s="204">
        <v>4</v>
      </c>
      <c r="F168" s="204">
        <v>4</v>
      </c>
      <c r="G168" s="194" t="s">
        <v>377</v>
      </c>
      <c r="H168" s="206">
        <v>0</v>
      </c>
      <c r="I168" s="203">
        <v>18</v>
      </c>
    </row>
    <row r="169" hidden="1" spans="1:9">
      <c r="A169" s="190">
        <v>166</v>
      </c>
      <c r="B169" s="191" t="s">
        <v>22</v>
      </c>
      <c r="C169" s="192" t="s">
        <v>241</v>
      </c>
      <c r="D169" s="192" t="s">
        <v>246</v>
      </c>
      <c r="E169" s="204">
        <v>8</v>
      </c>
      <c r="F169" s="204">
        <v>4</v>
      </c>
      <c r="G169" s="194" t="s">
        <v>377</v>
      </c>
      <c r="H169" s="206">
        <v>1</v>
      </c>
      <c r="I169" s="203">
        <v>28</v>
      </c>
    </row>
    <row r="170" hidden="1" spans="1:9">
      <c r="A170" s="190">
        <v>167</v>
      </c>
      <c r="B170" s="191" t="s">
        <v>22</v>
      </c>
      <c r="C170" s="192" t="s">
        <v>241</v>
      </c>
      <c r="D170" s="192" t="s">
        <v>247</v>
      </c>
      <c r="E170" s="204">
        <v>9</v>
      </c>
      <c r="F170" s="204">
        <v>4</v>
      </c>
      <c r="G170" s="194" t="s">
        <v>377</v>
      </c>
      <c r="H170" s="206">
        <v>1</v>
      </c>
      <c r="I170" s="203">
        <v>18</v>
      </c>
    </row>
    <row r="171" hidden="1" spans="1:9">
      <c r="A171" s="190">
        <v>168</v>
      </c>
      <c r="B171" s="191" t="s">
        <v>22</v>
      </c>
      <c r="C171" s="192" t="s">
        <v>241</v>
      </c>
      <c r="D171" s="192" t="s">
        <v>248</v>
      </c>
      <c r="E171" s="204">
        <v>4</v>
      </c>
      <c r="F171" s="204">
        <v>4</v>
      </c>
      <c r="G171" s="194" t="s">
        <v>378</v>
      </c>
      <c r="H171" s="206">
        <v>1</v>
      </c>
      <c r="I171" s="203">
        <v>13</v>
      </c>
    </row>
    <row r="172" hidden="1" spans="1:9">
      <c r="A172" s="190">
        <v>169</v>
      </c>
      <c r="B172" s="191" t="s">
        <v>22</v>
      </c>
      <c r="C172" s="192" t="s">
        <v>241</v>
      </c>
      <c r="D172" s="192" t="s">
        <v>249</v>
      </c>
      <c r="E172" s="204">
        <v>5</v>
      </c>
      <c r="F172" s="204">
        <v>5</v>
      </c>
      <c r="G172" s="194" t="s">
        <v>377</v>
      </c>
      <c r="H172" s="206">
        <v>1</v>
      </c>
      <c r="I172" s="203">
        <v>21</v>
      </c>
    </row>
    <row r="173" hidden="1" spans="1:9">
      <c r="A173" s="190">
        <v>170</v>
      </c>
      <c r="B173" s="191" t="s">
        <v>22</v>
      </c>
      <c r="C173" s="192" t="s">
        <v>241</v>
      </c>
      <c r="D173" s="192" t="s">
        <v>250</v>
      </c>
      <c r="E173" s="204">
        <v>19</v>
      </c>
      <c r="F173" s="204">
        <v>6</v>
      </c>
      <c r="G173" s="194" t="s">
        <v>377</v>
      </c>
      <c r="H173" s="206">
        <v>1</v>
      </c>
      <c r="I173" s="203">
        <v>30</v>
      </c>
    </row>
    <row r="174" hidden="1" spans="1:9">
      <c r="A174" s="190">
        <v>171</v>
      </c>
      <c r="B174" s="191" t="s">
        <v>22</v>
      </c>
      <c r="C174" s="192" t="s">
        <v>241</v>
      </c>
      <c r="D174" s="192" t="s">
        <v>251</v>
      </c>
      <c r="E174" s="204">
        <v>10</v>
      </c>
      <c r="F174" s="204">
        <v>4</v>
      </c>
      <c r="G174" s="194" t="s">
        <v>378</v>
      </c>
      <c r="H174" s="206">
        <v>1</v>
      </c>
      <c r="I174" s="203">
        <v>12</v>
      </c>
    </row>
    <row r="175" hidden="1" spans="1:9">
      <c r="A175" s="190">
        <v>172</v>
      </c>
      <c r="B175" s="191" t="s">
        <v>22</v>
      </c>
      <c r="C175" s="192" t="s">
        <v>241</v>
      </c>
      <c r="D175" s="192" t="s">
        <v>252</v>
      </c>
      <c r="E175" s="204">
        <v>6</v>
      </c>
      <c r="F175" s="204">
        <v>3</v>
      </c>
      <c r="G175" s="194" t="s">
        <v>377</v>
      </c>
      <c r="H175" s="206">
        <v>0</v>
      </c>
      <c r="I175" s="203">
        <v>29</v>
      </c>
    </row>
    <row r="176" hidden="1" spans="1:9">
      <c r="A176" s="190">
        <v>173</v>
      </c>
      <c r="B176" s="191" t="s">
        <v>22</v>
      </c>
      <c r="C176" s="192" t="s">
        <v>241</v>
      </c>
      <c r="D176" s="192" t="s">
        <v>253</v>
      </c>
      <c r="E176" s="204">
        <v>6</v>
      </c>
      <c r="F176" s="204">
        <v>4</v>
      </c>
      <c r="G176" s="194" t="s">
        <v>377</v>
      </c>
      <c r="H176" s="206">
        <v>1</v>
      </c>
      <c r="I176" s="203">
        <v>23</v>
      </c>
    </row>
    <row r="177" hidden="1" spans="1:9">
      <c r="A177" s="190">
        <v>174</v>
      </c>
      <c r="B177" s="191" t="s">
        <v>22</v>
      </c>
      <c r="C177" s="192" t="s">
        <v>241</v>
      </c>
      <c r="D177" s="192" t="s">
        <v>254</v>
      </c>
      <c r="E177" s="204">
        <v>6</v>
      </c>
      <c r="F177" s="204">
        <v>3</v>
      </c>
      <c r="G177" s="194" t="s">
        <v>377</v>
      </c>
      <c r="H177" s="206">
        <v>1</v>
      </c>
      <c r="I177" s="203">
        <v>15</v>
      </c>
    </row>
    <row r="178" hidden="1" spans="1:9">
      <c r="A178" s="190">
        <v>175</v>
      </c>
      <c r="B178" s="191" t="s">
        <v>22</v>
      </c>
      <c r="C178" s="192" t="s">
        <v>241</v>
      </c>
      <c r="D178" s="192" t="s">
        <v>255</v>
      </c>
      <c r="E178" s="204">
        <v>7</v>
      </c>
      <c r="F178" s="204">
        <v>4</v>
      </c>
      <c r="G178" s="194" t="s">
        <v>377</v>
      </c>
      <c r="H178" s="206">
        <v>1</v>
      </c>
      <c r="I178" s="203">
        <v>20</v>
      </c>
    </row>
    <row r="179" hidden="1" spans="1:9">
      <c r="A179" s="190">
        <v>176</v>
      </c>
      <c r="B179" s="191" t="s">
        <v>22</v>
      </c>
      <c r="C179" s="192" t="s">
        <v>241</v>
      </c>
      <c r="D179" s="192" t="s">
        <v>256</v>
      </c>
      <c r="E179" s="204">
        <v>6</v>
      </c>
      <c r="F179" s="204">
        <v>3</v>
      </c>
      <c r="G179" s="194" t="s">
        <v>377</v>
      </c>
      <c r="H179" s="206">
        <v>1</v>
      </c>
      <c r="I179" s="203">
        <v>24</v>
      </c>
    </row>
    <row r="180" hidden="1" spans="1:9">
      <c r="A180" s="190">
        <v>177</v>
      </c>
      <c r="B180" s="191" t="s">
        <v>22</v>
      </c>
      <c r="C180" s="192" t="s">
        <v>241</v>
      </c>
      <c r="D180" s="192" t="s">
        <v>257</v>
      </c>
      <c r="E180" s="204">
        <v>5</v>
      </c>
      <c r="F180" s="204">
        <v>5</v>
      </c>
      <c r="G180" s="194" t="s">
        <v>377</v>
      </c>
      <c r="H180" s="206">
        <v>0</v>
      </c>
      <c r="I180" s="203">
        <v>19</v>
      </c>
    </row>
    <row r="181" hidden="1" spans="1:9">
      <c r="A181" s="190">
        <v>178</v>
      </c>
      <c r="B181" s="191" t="s">
        <v>22</v>
      </c>
      <c r="C181" s="192" t="s">
        <v>241</v>
      </c>
      <c r="D181" s="192" t="s">
        <v>258</v>
      </c>
      <c r="E181" s="204">
        <v>6</v>
      </c>
      <c r="F181" s="204">
        <v>5</v>
      </c>
      <c r="G181" s="194" t="s">
        <v>377</v>
      </c>
      <c r="H181" s="206">
        <v>1</v>
      </c>
      <c r="I181" s="203">
        <v>15</v>
      </c>
    </row>
    <row r="182" hidden="1" spans="1:9">
      <c r="A182" s="190">
        <v>179</v>
      </c>
      <c r="B182" s="191" t="s">
        <v>22</v>
      </c>
      <c r="C182" s="192" t="s">
        <v>241</v>
      </c>
      <c r="D182" s="192" t="s">
        <v>259</v>
      </c>
      <c r="E182" s="204">
        <v>6</v>
      </c>
      <c r="F182" s="204">
        <v>6</v>
      </c>
      <c r="G182" s="194" t="s">
        <v>377</v>
      </c>
      <c r="H182" s="206">
        <v>1</v>
      </c>
      <c r="I182" s="203">
        <v>16</v>
      </c>
    </row>
    <row r="183" hidden="1" spans="1:9">
      <c r="A183" s="190">
        <v>180</v>
      </c>
      <c r="B183" s="191" t="s">
        <v>22</v>
      </c>
      <c r="C183" s="192" t="s">
        <v>241</v>
      </c>
      <c r="D183" s="192" t="s">
        <v>260</v>
      </c>
      <c r="E183" s="204">
        <v>7</v>
      </c>
      <c r="F183" s="204">
        <v>5</v>
      </c>
      <c r="G183" s="194" t="s">
        <v>377</v>
      </c>
      <c r="H183" s="206">
        <v>0</v>
      </c>
      <c r="I183" s="203">
        <v>17</v>
      </c>
    </row>
    <row r="184" hidden="1" spans="1:9">
      <c r="A184" s="190"/>
      <c r="B184" s="191"/>
      <c r="C184" s="191"/>
      <c r="D184" s="192"/>
      <c r="E184" s="199"/>
      <c r="F184" s="199"/>
      <c r="G184" s="199"/>
      <c r="H184" s="191"/>
      <c r="I184" s="203"/>
    </row>
    <row r="185" hidden="1" spans="1:9">
      <c r="A185" s="190">
        <v>182</v>
      </c>
      <c r="B185" s="191" t="s">
        <v>22</v>
      </c>
      <c r="C185" s="192" t="s">
        <v>261</v>
      </c>
      <c r="D185" s="192" t="s">
        <v>262</v>
      </c>
      <c r="E185" s="201">
        <v>36</v>
      </c>
      <c r="F185" s="201">
        <v>6</v>
      </c>
      <c r="G185" s="194" t="s">
        <v>377</v>
      </c>
      <c r="H185" s="206">
        <v>0</v>
      </c>
      <c r="I185" s="203"/>
    </row>
    <row r="186" hidden="1" spans="1:9">
      <c r="A186" s="190">
        <v>183</v>
      </c>
      <c r="B186" s="191" t="s">
        <v>22</v>
      </c>
      <c r="C186" s="192" t="s">
        <v>261</v>
      </c>
      <c r="D186" s="192" t="s">
        <v>263</v>
      </c>
      <c r="E186" s="201">
        <v>44</v>
      </c>
      <c r="F186" s="201">
        <v>5</v>
      </c>
      <c r="G186" s="194" t="s">
        <v>378</v>
      </c>
      <c r="H186" s="206">
        <v>0</v>
      </c>
      <c r="I186" s="203"/>
    </row>
    <row r="187" hidden="1" spans="1:9">
      <c r="A187" s="190">
        <v>184</v>
      </c>
      <c r="B187" s="191" t="s">
        <v>22</v>
      </c>
      <c r="C187" s="192" t="s">
        <v>261</v>
      </c>
      <c r="D187" s="192" t="s">
        <v>264</v>
      </c>
      <c r="E187" s="201">
        <v>56</v>
      </c>
      <c r="F187" s="201">
        <v>4</v>
      </c>
      <c r="G187" s="194" t="s">
        <v>378</v>
      </c>
      <c r="H187" s="206">
        <v>0</v>
      </c>
      <c r="I187" s="203"/>
    </row>
    <row r="188" hidden="1" spans="1:9">
      <c r="A188" s="190">
        <v>185</v>
      </c>
      <c r="B188" s="191" t="s">
        <v>22</v>
      </c>
      <c r="C188" s="192" t="s">
        <v>261</v>
      </c>
      <c r="D188" s="192" t="s">
        <v>265</v>
      </c>
      <c r="E188" s="201">
        <v>60</v>
      </c>
      <c r="F188" s="201">
        <v>6</v>
      </c>
      <c r="G188" s="194" t="s">
        <v>377</v>
      </c>
      <c r="H188" s="206">
        <v>0</v>
      </c>
      <c r="I188" s="203"/>
    </row>
    <row r="189" hidden="1" spans="1:9">
      <c r="A189" s="190">
        <v>186</v>
      </c>
      <c r="B189" s="191" t="s">
        <v>22</v>
      </c>
      <c r="C189" s="192" t="s">
        <v>261</v>
      </c>
      <c r="D189" s="192" t="s">
        <v>266</v>
      </c>
      <c r="E189" s="201">
        <v>28</v>
      </c>
      <c r="F189" s="201">
        <v>7</v>
      </c>
      <c r="G189" s="194" t="s">
        <v>378</v>
      </c>
      <c r="H189" s="206">
        <v>0</v>
      </c>
      <c r="I189" s="203"/>
    </row>
    <row r="190" hidden="1" spans="1:9">
      <c r="A190" s="190">
        <v>187</v>
      </c>
      <c r="B190" s="191" t="s">
        <v>22</v>
      </c>
      <c r="C190" s="192" t="s">
        <v>261</v>
      </c>
      <c r="D190" s="192" t="s">
        <v>267</v>
      </c>
      <c r="E190" s="201">
        <v>36</v>
      </c>
      <c r="F190" s="201">
        <v>6</v>
      </c>
      <c r="G190" s="194" t="s">
        <v>377</v>
      </c>
      <c r="H190" s="206">
        <v>0</v>
      </c>
      <c r="I190" s="203"/>
    </row>
    <row r="191" hidden="1" spans="1:9">
      <c r="A191" s="190">
        <v>188</v>
      </c>
      <c r="B191" s="191" t="s">
        <v>22</v>
      </c>
      <c r="C191" s="192" t="s">
        <v>261</v>
      </c>
      <c r="D191" s="192" t="s">
        <v>268</v>
      </c>
      <c r="E191" s="201">
        <v>28</v>
      </c>
      <c r="F191" s="201">
        <v>8</v>
      </c>
      <c r="G191" s="194" t="s">
        <v>377</v>
      </c>
      <c r="H191" s="206">
        <v>0</v>
      </c>
      <c r="I191" s="203"/>
    </row>
    <row r="192" hidden="1" spans="1:9">
      <c r="A192" s="190">
        <v>189</v>
      </c>
      <c r="B192" s="191" t="s">
        <v>22</v>
      </c>
      <c r="C192" s="192" t="s">
        <v>261</v>
      </c>
      <c r="D192" s="192" t="s">
        <v>269</v>
      </c>
      <c r="E192" s="201">
        <v>32</v>
      </c>
      <c r="F192" s="201">
        <v>4</v>
      </c>
      <c r="G192" s="194" t="s">
        <v>377</v>
      </c>
      <c r="H192" s="206">
        <v>0</v>
      </c>
      <c r="I192" s="203"/>
    </row>
    <row r="193" hidden="1" spans="1:9">
      <c r="A193" s="190">
        <v>190</v>
      </c>
      <c r="B193" s="191" t="s">
        <v>22</v>
      </c>
      <c r="C193" s="192" t="s">
        <v>261</v>
      </c>
      <c r="D193" s="192" t="s">
        <v>270</v>
      </c>
      <c r="E193" s="201">
        <v>52</v>
      </c>
      <c r="F193" s="201">
        <v>4</v>
      </c>
      <c r="G193" s="194" t="s">
        <v>378</v>
      </c>
      <c r="H193" s="206">
        <v>0</v>
      </c>
      <c r="I193" s="203"/>
    </row>
    <row r="194" hidden="1" spans="1:9">
      <c r="A194" s="190">
        <v>191</v>
      </c>
      <c r="B194" s="191" t="s">
        <v>22</v>
      </c>
      <c r="C194" s="192" t="s">
        <v>261</v>
      </c>
      <c r="D194" s="192" t="s">
        <v>271</v>
      </c>
      <c r="E194" s="201">
        <v>24</v>
      </c>
      <c r="F194" s="201">
        <v>5</v>
      </c>
      <c r="G194" s="194" t="s">
        <v>378</v>
      </c>
      <c r="H194" s="206">
        <v>0</v>
      </c>
      <c r="I194" s="198"/>
    </row>
    <row r="195" hidden="1" spans="1:9">
      <c r="A195" s="190">
        <v>192</v>
      </c>
      <c r="B195" s="191" t="s">
        <v>22</v>
      </c>
      <c r="C195" s="192" t="s">
        <v>261</v>
      </c>
      <c r="D195" s="192" t="s">
        <v>272</v>
      </c>
      <c r="E195" s="201">
        <v>52</v>
      </c>
      <c r="F195" s="201">
        <v>4</v>
      </c>
      <c r="G195" s="194" t="s">
        <v>377</v>
      </c>
      <c r="H195" s="206">
        <v>0</v>
      </c>
      <c r="I195" s="200"/>
    </row>
    <row r="196" hidden="1" spans="1:9">
      <c r="A196" s="190">
        <v>193</v>
      </c>
      <c r="B196" s="191" t="s">
        <v>22</v>
      </c>
      <c r="C196" s="192" t="s">
        <v>261</v>
      </c>
      <c r="D196" s="192" t="s">
        <v>273</v>
      </c>
      <c r="E196" s="201">
        <v>32</v>
      </c>
      <c r="F196" s="201">
        <v>4</v>
      </c>
      <c r="G196" s="194" t="s">
        <v>377</v>
      </c>
      <c r="H196" s="206">
        <v>0</v>
      </c>
      <c r="I196" s="200"/>
    </row>
    <row r="197" hidden="1" spans="1:9">
      <c r="A197" s="190">
        <v>194</v>
      </c>
      <c r="B197" s="191" t="s">
        <v>22</v>
      </c>
      <c r="C197" s="192" t="s">
        <v>261</v>
      </c>
      <c r="D197" s="192" t="s">
        <v>274</v>
      </c>
      <c r="E197" s="201">
        <v>24</v>
      </c>
      <c r="F197" s="201">
        <v>6</v>
      </c>
      <c r="G197" s="194" t="s">
        <v>377</v>
      </c>
      <c r="H197" s="206">
        <v>0</v>
      </c>
      <c r="I197" s="200"/>
    </row>
    <row r="198" hidden="1" spans="1:9">
      <c r="A198" s="190">
        <v>195</v>
      </c>
      <c r="B198" s="191" t="s">
        <v>22</v>
      </c>
      <c r="C198" s="192" t="s">
        <v>261</v>
      </c>
      <c r="D198" s="192" t="s">
        <v>275</v>
      </c>
      <c r="E198" s="201">
        <v>24</v>
      </c>
      <c r="F198" s="201">
        <v>5</v>
      </c>
      <c r="G198" s="194" t="s">
        <v>377</v>
      </c>
      <c r="H198" s="206">
        <v>0</v>
      </c>
      <c r="I198" s="200"/>
    </row>
    <row r="199" hidden="1" spans="1:9">
      <c r="A199" s="190">
        <v>196</v>
      </c>
      <c r="B199" s="191" t="s">
        <v>22</v>
      </c>
      <c r="C199" s="192" t="s">
        <v>261</v>
      </c>
      <c r="D199" s="192" t="s">
        <v>276</v>
      </c>
      <c r="E199" s="201">
        <v>80</v>
      </c>
      <c r="F199" s="201">
        <v>17</v>
      </c>
      <c r="G199" s="194" t="s">
        <v>378</v>
      </c>
      <c r="H199" s="206">
        <v>0</v>
      </c>
      <c r="I199" s="200"/>
    </row>
    <row r="200" hidden="1" spans="1:9">
      <c r="A200" s="190">
        <v>197</v>
      </c>
      <c r="B200" s="191" t="s">
        <v>22</v>
      </c>
      <c r="C200" s="192" t="s">
        <v>261</v>
      </c>
      <c r="D200" s="192" t="s">
        <v>277</v>
      </c>
      <c r="E200" s="201">
        <v>36</v>
      </c>
      <c r="F200" s="201">
        <v>9</v>
      </c>
      <c r="G200" s="194" t="s">
        <v>377</v>
      </c>
      <c r="H200" s="206">
        <v>0</v>
      </c>
      <c r="I200" s="200"/>
    </row>
    <row r="201" hidden="1" spans="1:9">
      <c r="A201" s="190"/>
      <c r="B201" s="191"/>
      <c r="C201" s="191"/>
      <c r="D201" s="192"/>
      <c r="E201" s="199"/>
      <c r="F201" s="199"/>
      <c r="G201" s="199"/>
      <c r="H201" s="191"/>
      <c r="I201" s="200"/>
    </row>
    <row r="202" hidden="1" spans="1:9">
      <c r="A202" s="190">
        <v>199</v>
      </c>
      <c r="B202" s="191" t="s">
        <v>109</v>
      </c>
      <c r="C202" s="192" t="s">
        <v>278</v>
      </c>
      <c r="D202" s="192" t="s">
        <v>279</v>
      </c>
      <c r="E202" s="204">
        <v>21</v>
      </c>
      <c r="F202" s="204">
        <v>8</v>
      </c>
      <c r="G202" s="194" t="s">
        <v>377</v>
      </c>
      <c r="H202" s="206">
        <v>0</v>
      </c>
      <c r="I202" s="203">
        <v>6</v>
      </c>
    </row>
    <row r="203" hidden="1" spans="1:9">
      <c r="A203" s="190">
        <v>200</v>
      </c>
      <c r="B203" s="191" t="s">
        <v>109</v>
      </c>
      <c r="C203" s="192" t="s">
        <v>278</v>
      </c>
      <c r="D203" s="192" t="s">
        <v>280</v>
      </c>
      <c r="E203" s="204">
        <v>8</v>
      </c>
      <c r="F203" s="204">
        <v>8</v>
      </c>
      <c r="G203" s="194" t="s">
        <v>377</v>
      </c>
      <c r="H203" s="206">
        <v>0</v>
      </c>
      <c r="I203" s="203">
        <v>5</v>
      </c>
    </row>
    <row r="204" hidden="1" spans="1:9">
      <c r="A204" s="190">
        <v>201</v>
      </c>
      <c r="B204" s="191" t="s">
        <v>109</v>
      </c>
      <c r="C204" s="192" t="s">
        <v>278</v>
      </c>
      <c r="D204" s="192" t="s">
        <v>281</v>
      </c>
      <c r="E204" s="204">
        <v>14</v>
      </c>
      <c r="F204" s="204">
        <v>9</v>
      </c>
      <c r="G204" s="194" t="s">
        <v>377</v>
      </c>
      <c r="H204" s="206">
        <v>0</v>
      </c>
      <c r="I204" s="203">
        <v>15</v>
      </c>
    </row>
    <row r="205" hidden="1" spans="1:9">
      <c r="A205" s="190">
        <v>202</v>
      </c>
      <c r="B205" s="191" t="s">
        <v>109</v>
      </c>
      <c r="C205" s="192" t="s">
        <v>278</v>
      </c>
      <c r="D205" s="192" t="s">
        <v>282</v>
      </c>
      <c r="E205" s="204">
        <v>14</v>
      </c>
      <c r="F205" s="204">
        <v>9</v>
      </c>
      <c r="G205" s="194" t="s">
        <v>377</v>
      </c>
      <c r="H205" s="206">
        <v>1</v>
      </c>
      <c r="I205" s="203">
        <v>19</v>
      </c>
    </row>
    <row r="206" hidden="1" spans="1:9">
      <c r="A206" s="190">
        <v>203</v>
      </c>
      <c r="B206" s="191" t="s">
        <v>109</v>
      </c>
      <c r="C206" s="192" t="s">
        <v>278</v>
      </c>
      <c r="D206" s="192" t="s">
        <v>283</v>
      </c>
      <c r="E206" s="204">
        <v>15</v>
      </c>
      <c r="F206" s="204">
        <v>8</v>
      </c>
      <c r="G206" s="194" t="s">
        <v>377</v>
      </c>
      <c r="H206" s="206">
        <v>0</v>
      </c>
      <c r="I206" s="203">
        <v>21</v>
      </c>
    </row>
    <row r="207" hidden="1" spans="1:9">
      <c r="A207" s="190">
        <v>204</v>
      </c>
      <c r="B207" s="191" t="s">
        <v>109</v>
      </c>
      <c r="C207" s="192" t="s">
        <v>278</v>
      </c>
      <c r="D207" s="192" t="s">
        <v>284</v>
      </c>
      <c r="E207" s="204">
        <v>14</v>
      </c>
      <c r="F207" s="204">
        <v>7</v>
      </c>
      <c r="G207" s="194" t="s">
        <v>377</v>
      </c>
      <c r="H207" s="206">
        <v>0</v>
      </c>
      <c r="I207" s="203">
        <v>9</v>
      </c>
    </row>
    <row r="208" hidden="1" spans="1:9">
      <c r="A208" s="190">
        <v>205</v>
      </c>
      <c r="B208" s="191" t="s">
        <v>109</v>
      </c>
      <c r="C208" s="192" t="s">
        <v>278</v>
      </c>
      <c r="D208" s="192" t="s">
        <v>285</v>
      </c>
      <c r="E208" s="204">
        <v>14</v>
      </c>
      <c r="F208" s="204">
        <v>6</v>
      </c>
      <c r="G208" s="194" t="s">
        <v>378</v>
      </c>
      <c r="H208" s="206">
        <v>0</v>
      </c>
      <c r="I208" s="203">
        <v>6</v>
      </c>
    </row>
    <row r="209" hidden="1" spans="1:9">
      <c r="A209" s="190">
        <v>206</v>
      </c>
      <c r="B209" s="191" t="s">
        <v>109</v>
      </c>
      <c r="C209" s="192" t="s">
        <v>278</v>
      </c>
      <c r="D209" s="192" t="s">
        <v>286</v>
      </c>
      <c r="E209" s="204">
        <v>14</v>
      </c>
      <c r="F209" s="204">
        <v>8</v>
      </c>
      <c r="G209" s="194" t="s">
        <v>377</v>
      </c>
      <c r="H209" s="206">
        <v>0</v>
      </c>
      <c r="I209" s="203">
        <v>9</v>
      </c>
    </row>
    <row r="210" hidden="1" spans="1:9">
      <c r="A210" s="190">
        <v>207</v>
      </c>
      <c r="B210" s="191" t="s">
        <v>109</v>
      </c>
      <c r="C210" s="192" t="s">
        <v>278</v>
      </c>
      <c r="D210" s="192" t="s">
        <v>287</v>
      </c>
      <c r="E210" s="204">
        <v>14</v>
      </c>
      <c r="F210" s="204">
        <v>9</v>
      </c>
      <c r="G210" s="194" t="s">
        <v>377</v>
      </c>
      <c r="H210" s="206">
        <v>0</v>
      </c>
      <c r="I210" s="203">
        <v>15</v>
      </c>
    </row>
    <row r="211" hidden="1" spans="1:9">
      <c r="A211" s="190">
        <v>208</v>
      </c>
      <c r="B211" s="191" t="s">
        <v>109</v>
      </c>
      <c r="C211" s="192" t="s">
        <v>278</v>
      </c>
      <c r="D211" s="192" t="s">
        <v>288</v>
      </c>
      <c r="E211" s="204">
        <v>14</v>
      </c>
      <c r="F211" s="204">
        <v>7</v>
      </c>
      <c r="G211" s="194" t="s">
        <v>377</v>
      </c>
      <c r="H211" s="206">
        <v>0</v>
      </c>
      <c r="I211" s="203">
        <v>9</v>
      </c>
    </row>
    <row r="212" hidden="1" spans="1:9">
      <c r="A212" s="190">
        <v>209</v>
      </c>
      <c r="B212" s="191" t="s">
        <v>109</v>
      </c>
      <c r="C212" s="192" t="s">
        <v>278</v>
      </c>
      <c r="D212" s="192" t="s">
        <v>289</v>
      </c>
      <c r="E212" s="204">
        <v>14</v>
      </c>
      <c r="F212" s="204">
        <v>8</v>
      </c>
      <c r="G212" s="194" t="s">
        <v>377</v>
      </c>
      <c r="H212" s="206">
        <v>0</v>
      </c>
      <c r="I212" s="203">
        <v>8</v>
      </c>
    </row>
    <row r="213" hidden="1" spans="1:9">
      <c r="A213" s="190">
        <v>210</v>
      </c>
      <c r="B213" s="191" t="s">
        <v>109</v>
      </c>
      <c r="C213" s="192" t="s">
        <v>278</v>
      </c>
      <c r="D213" s="192" t="s">
        <v>290</v>
      </c>
      <c r="E213" s="204">
        <v>6</v>
      </c>
      <c r="F213" s="204">
        <v>6</v>
      </c>
      <c r="G213" s="194" t="s">
        <v>378</v>
      </c>
      <c r="H213" s="206">
        <v>0</v>
      </c>
      <c r="I213" s="203">
        <v>11</v>
      </c>
    </row>
    <row r="214" hidden="1" spans="1:9">
      <c r="A214" s="190">
        <v>211</v>
      </c>
      <c r="B214" s="191" t="s">
        <v>109</v>
      </c>
      <c r="C214" s="192" t="s">
        <v>278</v>
      </c>
      <c r="D214" s="192" t="s">
        <v>291</v>
      </c>
      <c r="E214" s="204">
        <v>14</v>
      </c>
      <c r="F214" s="204">
        <v>9</v>
      </c>
      <c r="G214" s="194" t="s">
        <v>378</v>
      </c>
      <c r="H214" s="206">
        <v>0</v>
      </c>
      <c r="I214" s="203">
        <v>6</v>
      </c>
    </row>
    <row r="215" hidden="1" spans="1:9">
      <c r="A215" s="190">
        <v>212</v>
      </c>
      <c r="B215" s="191" t="s">
        <v>109</v>
      </c>
      <c r="C215" s="192" t="s">
        <v>278</v>
      </c>
      <c r="D215" s="192" t="s">
        <v>292</v>
      </c>
      <c r="E215" s="204">
        <v>12</v>
      </c>
      <c r="F215" s="204">
        <v>9</v>
      </c>
      <c r="G215" s="194" t="s">
        <v>378</v>
      </c>
      <c r="H215" s="206">
        <v>0</v>
      </c>
      <c r="I215" s="203">
        <v>5</v>
      </c>
    </row>
    <row r="216" hidden="1" spans="1:9">
      <c r="A216" s="190">
        <v>213</v>
      </c>
      <c r="B216" s="191" t="s">
        <v>109</v>
      </c>
      <c r="C216" s="192" t="s">
        <v>278</v>
      </c>
      <c r="D216" s="192" t="s">
        <v>293</v>
      </c>
      <c r="E216" s="204">
        <v>14</v>
      </c>
      <c r="F216" s="204">
        <v>10</v>
      </c>
      <c r="G216" s="194" t="s">
        <v>377</v>
      </c>
      <c r="H216" s="206">
        <v>0</v>
      </c>
      <c r="I216" s="203">
        <v>19</v>
      </c>
    </row>
    <row r="217" hidden="1" spans="1:9">
      <c r="A217" s="190">
        <v>214</v>
      </c>
      <c r="B217" s="191" t="s">
        <v>109</v>
      </c>
      <c r="C217" s="192" t="s">
        <v>278</v>
      </c>
      <c r="D217" s="192" t="s">
        <v>294</v>
      </c>
      <c r="E217" s="204">
        <v>13</v>
      </c>
      <c r="F217" s="204">
        <v>9</v>
      </c>
      <c r="G217" s="194" t="s">
        <v>377</v>
      </c>
      <c r="H217" s="206">
        <v>0</v>
      </c>
      <c r="I217" s="203">
        <v>9</v>
      </c>
    </row>
    <row r="218" hidden="1" spans="1:9">
      <c r="A218" s="190">
        <v>215</v>
      </c>
      <c r="B218" s="191" t="s">
        <v>109</v>
      </c>
      <c r="C218" s="192" t="s">
        <v>278</v>
      </c>
      <c r="D218" s="192" t="s">
        <v>295</v>
      </c>
      <c r="E218" s="204">
        <v>14</v>
      </c>
      <c r="F218" s="204">
        <v>9</v>
      </c>
      <c r="G218" s="194" t="s">
        <v>377</v>
      </c>
      <c r="H218" s="206">
        <v>0</v>
      </c>
      <c r="I218" s="203">
        <v>13</v>
      </c>
    </row>
    <row r="219" hidden="1" spans="1:9">
      <c r="A219" s="190">
        <v>216</v>
      </c>
      <c r="B219" s="191" t="s">
        <v>109</v>
      </c>
      <c r="C219" s="192" t="s">
        <v>278</v>
      </c>
      <c r="D219" s="192" t="s">
        <v>296</v>
      </c>
      <c r="E219" s="204">
        <v>14</v>
      </c>
      <c r="F219" s="204">
        <v>8</v>
      </c>
      <c r="G219" s="194" t="s">
        <v>378</v>
      </c>
      <c r="H219" s="206">
        <v>0</v>
      </c>
      <c r="I219" s="203">
        <v>8</v>
      </c>
    </row>
    <row r="220" hidden="1" spans="1:9">
      <c r="A220" s="190">
        <v>217</v>
      </c>
      <c r="B220" s="191" t="s">
        <v>109</v>
      </c>
      <c r="C220" s="192" t="s">
        <v>278</v>
      </c>
      <c r="D220" s="192" t="s">
        <v>297</v>
      </c>
      <c r="E220" s="204">
        <v>14</v>
      </c>
      <c r="F220" s="204">
        <v>10</v>
      </c>
      <c r="G220" s="194" t="s">
        <v>377</v>
      </c>
      <c r="H220" s="206">
        <v>0</v>
      </c>
      <c r="I220" s="203">
        <v>12</v>
      </c>
    </row>
    <row r="221" hidden="1" spans="1:9">
      <c r="A221" s="190">
        <v>218</v>
      </c>
      <c r="B221" s="191" t="s">
        <v>109</v>
      </c>
      <c r="C221" s="192" t="s">
        <v>278</v>
      </c>
      <c r="D221" s="192" t="s">
        <v>298</v>
      </c>
      <c r="E221" s="204">
        <v>14</v>
      </c>
      <c r="F221" s="204">
        <v>9</v>
      </c>
      <c r="G221" s="194" t="s">
        <v>378</v>
      </c>
      <c r="H221" s="206">
        <v>0</v>
      </c>
      <c r="I221" s="203">
        <v>18</v>
      </c>
    </row>
    <row r="222" hidden="1" spans="1:9">
      <c r="A222" s="190">
        <v>219</v>
      </c>
      <c r="B222" s="191" t="s">
        <v>109</v>
      </c>
      <c r="C222" s="192" t="s">
        <v>278</v>
      </c>
      <c r="D222" s="192" t="s">
        <v>299</v>
      </c>
      <c r="E222" s="204">
        <v>14</v>
      </c>
      <c r="F222" s="204">
        <v>8</v>
      </c>
      <c r="G222" s="194" t="s">
        <v>377</v>
      </c>
      <c r="H222" s="206">
        <v>0</v>
      </c>
      <c r="I222" s="203">
        <v>11</v>
      </c>
    </row>
    <row r="223" hidden="1" spans="1:9">
      <c r="A223" s="190">
        <v>220</v>
      </c>
      <c r="B223" s="191" t="s">
        <v>109</v>
      </c>
      <c r="C223" s="192" t="s">
        <v>278</v>
      </c>
      <c r="D223" s="192" t="s">
        <v>300</v>
      </c>
      <c r="E223" s="204">
        <v>14</v>
      </c>
      <c r="F223" s="204">
        <v>8</v>
      </c>
      <c r="G223" s="194" t="s">
        <v>377</v>
      </c>
      <c r="H223" s="206">
        <v>0</v>
      </c>
      <c r="I223" s="203">
        <v>9</v>
      </c>
    </row>
    <row r="224" hidden="1" spans="1:9">
      <c r="A224" s="190"/>
      <c r="B224" s="191"/>
      <c r="C224" s="191"/>
      <c r="D224" s="192"/>
      <c r="E224" s="199"/>
      <c r="F224" s="199"/>
      <c r="G224" s="199"/>
      <c r="H224" s="191"/>
      <c r="I224" s="200"/>
    </row>
    <row r="225" hidden="1" spans="1:9">
      <c r="A225" s="190">
        <v>222</v>
      </c>
      <c r="B225" s="191" t="s">
        <v>22</v>
      </c>
      <c r="C225" s="192" t="s">
        <v>301</v>
      </c>
      <c r="D225" s="192" t="s">
        <v>302</v>
      </c>
      <c r="E225" s="201">
        <v>28</v>
      </c>
      <c r="F225" s="201">
        <v>5</v>
      </c>
      <c r="G225" s="194" t="s">
        <v>377</v>
      </c>
      <c r="H225" s="205">
        <v>0</v>
      </c>
      <c r="I225" s="207">
        <v>7</v>
      </c>
    </row>
    <row r="226" hidden="1" spans="1:9">
      <c r="A226" s="190">
        <v>223</v>
      </c>
      <c r="B226" s="191" t="s">
        <v>22</v>
      </c>
      <c r="C226" s="192" t="s">
        <v>301</v>
      </c>
      <c r="D226" s="192" t="s">
        <v>303</v>
      </c>
      <c r="E226" s="201">
        <v>18</v>
      </c>
      <c r="F226" s="201">
        <v>5</v>
      </c>
      <c r="G226" s="194" t="s">
        <v>377</v>
      </c>
      <c r="H226" s="205">
        <v>0</v>
      </c>
      <c r="I226" s="207">
        <v>5</v>
      </c>
    </row>
    <row r="227" hidden="1" spans="1:9">
      <c r="A227" s="190">
        <v>224</v>
      </c>
      <c r="B227" s="191" t="s">
        <v>22</v>
      </c>
      <c r="C227" s="192" t="s">
        <v>301</v>
      </c>
      <c r="D227" s="192" t="s">
        <v>304</v>
      </c>
      <c r="E227" s="201">
        <v>14</v>
      </c>
      <c r="F227" s="201">
        <v>5</v>
      </c>
      <c r="G227" s="194" t="s">
        <v>378</v>
      </c>
      <c r="H227" s="205">
        <v>0</v>
      </c>
      <c r="I227" s="207">
        <v>8</v>
      </c>
    </row>
    <row r="228" hidden="1" spans="1:9">
      <c r="A228" s="190">
        <v>225</v>
      </c>
      <c r="B228" s="191" t="s">
        <v>22</v>
      </c>
      <c r="C228" s="192" t="s">
        <v>301</v>
      </c>
      <c r="D228" s="192" t="s">
        <v>305</v>
      </c>
      <c r="E228" s="201">
        <v>16</v>
      </c>
      <c r="F228" s="201">
        <v>5</v>
      </c>
      <c r="G228" s="194" t="s">
        <v>377</v>
      </c>
      <c r="H228" s="205">
        <v>0</v>
      </c>
      <c r="I228" s="207">
        <v>11</v>
      </c>
    </row>
    <row r="229" hidden="1" spans="1:9">
      <c r="A229" s="190">
        <v>226</v>
      </c>
      <c r="B229" s="191" t="s">
        <v>22</v>
      </c>
      <c r="C229" s="192" t="s">
        <v>301</v>
      </c>
      <c r="D229" s="192" t="s">
        <v>306</v>
      </c>
      <c r="E229" s="201">
        <v>16</v>
      </c>
      <c r="F229" s="201">
        <v>5</v>
      </c>
      <c r="G229" s="194" t="s">
        <v>378</v>
      </c>
      <c r="H229" s="205">
        <v>0</v>
      </c>
      <c r="I229" s="207">
        <v>8</v>
      </c>
    </row>
    <row r="230" hidden="1" spans="1:9">
      <c r="A230" s="190">
        <v>227</v>
      </c>
      <c r="B230" s="191" t="s">
        <v>22</v>
      </c>
      <c r="C230" s="192" t="s">
        <v>301</v>
      </c>
      <c r="D230" s="192" t="s">
        <v>307</v>
      </c>
      <c r="E230" s="201">
        <v>26</v>
      </c>
      <c r="F230" s="201">
        <v>5</v>
      </c>
      <c r="G230" s="194" t="s">
        <v>377</v>
      </c>
      <c r="H230" s="205">
        <v>0</v>
      </c>
      <c r="I230" s="207">
        <v>16</v>
      </c>
    </row>
    <row r="231" hidden="1" spans="1:9">
      <c r="A231" s="190">
        <v>228</v>
      </c>
      <c r="B231" s="191" t="s">
        <v>22</v>
      </c>
      <c r="C231" s="192" t="s">
        <v>301</v>
      </c>
      <c r="D231" s="192" t="s">
        <v>308</v>
      </c>
      <c r="E231" s="201">
        <v>44</v>
      </c>
      <c r="F231" s="201">
        <v>5</v>
      </c>
      <c r="G231" s="194" t="s">
        <v>377</v>
      </c>
      <c r="H231" s="205">
        <v>0</v>
      </c>
      <c r="I231" s="207">
        <v>11</v>
      </c>
    </row>
    <row r="232" hidden="1" spans="1:9">
      <c r="A232" s="190">
        <v>229</v>
      </c>
      <c r="B232" s="191" t="s">
        <v>22</v>
      </c>
      <c r="C232" s="192" t="s">
        <v>301</v>
      </c>
      <c r="D232" s="192" t="s">
        <v>309</v>
      </c>
      <c r="E232" s="201">
        <v>44</v>
      </c>
      <c r="F232" s="201">
        <v>5</v>
      </c>
      <c r="G232" s="194" t="s">
        <v>377</v>
      </c>
      <c r="H232" s="205">
        <v>0</v>
      </c>
      <c r="I232" s="207">
        <v>8</v>
      </c>
    </row>
    <row r="233" hidden="1" spans="1:9">
      <c r="A233" s="190">
        <v>230</v>
      </c>
      <c r="B233" s="191" t="s">
        <v>22</v>
      </c>
      <c r="C233" s="192" t="s">
        <v>301</v>
      </c>
      <c r="D233" s="192" t="s">
        <v>310</v>
      </c>
      <c r="E233" s="201">
        <v>12</v>
      </c>
      <c r="F233" s="201">
        <v>5</v>
      </c>
      <c r="G233" s="194" t="s">
        <v>377</v>
      </c>
      <c r="H233" s="205">
        <v>0</v>
      </c>
      <c r="I233" s="207">
        <v>5</v>
      </c>
    </row>
    <row r="234" hidden="1" spans="1:9">
      <c r="A234" s="190">
        <v>231</v>
      </c>
      <c r="B234" s="191" t="s">
        <v>22</v>
      </c>
      <c r="C234" s="192" t="s">
        <v>301</v>
      </c>
      <c r="D234" s="192" t="s">
        <v>311</v>
      </c>
      <c r="E234" s="201">
        <v>22</v>
      </c>
      <c r="F234" s="201">
        <v>5</v>
      </c>
      <c r="G234" s="194" t="s">
        <v>377</v>
      </c>
      <c r="H234" s="205">
        <v>0</v>
      </c>
      <c r="I234" s="207">
        <v>9</v>
      </c>
    </row>
    <row r="235" hidden="1" spans="1:9">
      <c r="A235" s="190">
        <v>232</v>
      </c>
      <c r="B235" s="191" t="s">
        <v>22</v>
      </c>
      <c r="C235" s="192" t="s">
        <v>301</v>
      </c>
      <c r="D235" s="192" t="s">
        <v>312</v>
      </c>
      <c r="E235" s="201">
        <v>28</v>
      </c>
      <c r="F235" s="201">
        <v>5</v>
      </c>
      <c r="G235" s="194" t="s">
        <v>377</v>
      </c>
      <c r="H235" s="205">
        <v>0</v>
      </c>
      <c r="I235" s="207">
        <v>11</v>
      </c>
    </row>
    <row r="236" hidden="1" spans="1:9">
      <c r="A236" s="190">
        <v>233</v>
      </c>
      <c r="B236" s="191" t="s">
        <v>22</v>
      </c>
      <c r="C236" s="192" t="s">
        <v>301</v>
      </c>
      <c r="D236" s="192" t="s">
        <v>313</v>
      </c>
      <c r="E236" s="201">
        <v>28</v>
      </c>
      <c r="F236" s="201">
        <v>5</v>
      </c>
      <c r="G236" s="194" t="s">
        <v>377</v>
      </c>
      <c r="H236" s="205">
        <v>0</v>
      </c>
      <c r="I236" s="207">
        <v>9</v>
      </c>
    </row>
    <row r="237" hidden="1" spans="1:9">
      <c r="A237" s="190">
        <v>234</v>
      </c>
      <c r="B237" s="191" t="s">
        <v>22</v>
      </c>
      <c r="C237" s="192" t="s">
        <v>301</v>
      </c>
      <c r="D237" s="192" t="s">
        <v>314</v>
      </c>
      <c r="E237" s="201">
        <v>14</v>
      </c>
      <c r="F237" s="201">
        <v>5</v>
      </c>
      <c r="G237" s="194" t="s">
        <v>378</v>
      </c>
      <c r="H237" s="205">
        <v>0</v>
      </c>
      <c r="I237" s="207">
        <v>7</v>
      </c>
    </row>
    <row r="238" hidden="1" spans="1:9">
      <c r="A238" s="190">
        <v>235</v>
      </c>
      <c r="B238" s="191" t="s">
        <v>22</v>
      </c>
      <c r="C238" s="192" t="s">
        <v>301</v>
      </c>
      <c r="D238" s="192" t="s">
        <v>315</v>
      </c>
      <c r="E238" s="201">
        <v>30</v>
      </c>
      <c r="F238" s="201">
        <v>5</v>
      </c>
      <c r="G238" s="194" t="s">
        <v>377</v>
      </c>
      <c r="H238" s="205">
        <v>0</v>
      </c>
      <c r="I238" s="207">
        <v>12</v>
      </c>
    </row>
    <row r="239" hidden="1" spans="1:9">
      <c r="A239" s="190">
        <v>236</v>
      </c>
      <c r="B239" s="191" t="s">
        <v>22</v>
      </c>
      <c r="C239" s="192" t="s">
        <v>301</v>
      </c>
      <c r="D239" s="192" t="s">
        <v>316</v>
      </c>
      <c r="E239" s="201">
        <v>26</v>
      </c>
      <c r="F239" s="201">
        <v>5</v>
      </c>
      <c r="G239" s="194" t="s">
        <v>377</v>
      </c>
      <c r="H239" s="205">
        <v>0</v>
      </c>
      <c r="I239" s="207">
        <v>6</v>
      </c>
    </row>
    <row r="240" hidden="1" spans="1:9">
      <c r="A240" s="190">
        <v>237</v>
      </c>
      <c r="B240" s="191" t="s">
        <v>22</v>
      </c>
      <c r="C240" s="192" t="s">
        <v>301</v>
      </c>
      <c r="D240" s="192" t="s">
        <v>317</v>
      </c>
      <c r="E240" s="201">
        <v>24</v>
      </c>
      <c r="F240" s="201">
        <v>5</v>
      </c>
      <c r="G240" s="194" t="s">
        <v>377</v>
      </c>
      <c r="H240" s="205">
        <v>3</v>
      </c>
      <c r="I240" s="207">
        <v>32</v>
      </c>
    </row>
    <row r="241" hidden="1" spans="1:9">
      <c r="A241" s="190">
        <v>238</v>
      </c>
      <c r="B241" s="191" t="s">
        <v>22</v>
      </c>
      <c r="C241" s="192" t="s">
        <v>301</v>
      </c>
      <c r="D241" s="192" t="s">
        <v>318</v>
      </c>
      <c r="E241" s="201">
        <v>24</v>
      </c>
      <c r="F241" s="201">
        <v>5</v>
      </c>
      <c r="G241" s="194" t="s">
        <v>377</v>
      </c>
      <c r="H241" s="205">
        <v>0</v>
      </c>
      <c r="I241" s="207">
        <v>7</v>
      </c>
    </row>
    <row r="242" hidden="1" spans="1:9">
      <c r="A242" s="190">
        <v>239</v>
      </c>
      <c r="B242" s="191" t="s">
        <v>22</v>
      </c>
      <c r="C242" s="192" t="s">
        <v>301</v>
      </c>
      <c r="D242" s="192" t="s">
        <v>319</v>
      </c>
      <c r="E242" s="201">
        <v>28</v>
      </c>
      <c r="F242" s="201">
        <v>5</v>
      </c>
      <c r="G242" s="194" t="s">
        <v>377</v>
      </c>
      <c r="H242" s="205">
        <v>0</v>
      </c>
      <c r="I242" s="207">
        <v>16</v>
      </c>
    </row>
    <row r="243" hidden="1" spans="1:9">
      <c r="A243" s="190">
        <v>240</v>
      </c>
      <c r="B243" s="191" t="s">
        <v>22</v>
      </c>
      <c r="C243" s="192" t="s">
        <v>301</v>
      </c>
      <c r="D243" s="192" t="s">
        <v>320</v>
      </c>
      <c r="E243" s="201">
        <v>18</v>
      </c>
      <c r="F243" s="201">
        <v>5</v>
      </c>
      <c r="G243" s="194" t="s">
        <v>377</v>
      </c>
      <c r="H243" s="205">
        <v>0</v>
      </c>
      <c r="I243" s="207">
        <v>6</v>
      </c>
    </row>
    <row r="244" hidden="1" spans="1:9">
      <c r="A244" s="190">
        <v>241</v>
      </c>
      <c r="B244" s="191" t="s">
        <v>22</v>
      </c>
      <c r="C244" s="192" t="s">
        <v>301</v>
      </c>
      <c r="D244" s="192" t="s">
        <v>321</v>
      </c>
      <c r="E244" s="201">
        <v>34</v>
      </c>
      <c r="F244" s="201">
        <v>5</v>
      </c>
      <c r="G244" s="194" t="s">
        <v>377</v>
      </c>
      <c r="H244" s="205">
        <v>0</v>
      </c>
      <c r="I244" s="207">
        <v>11</v>
      </c>
    </row>
    <row r="245" hidden="1" spans="1:9">
      <c r="A245" s="190">
        <v>242</v>
      </c>
      <c r="B245" s="191" t="s">
        <v>22</v>
      </c>
      <c r="C245" s="192" t="s">
        <v>301</v>
      </c>
      <c r="D245" s="192" t="s">
        <v>322</v>
      </c>
      <c r="E245" s="201">
        <v>16</v>
      </c>
      <c r="F245" s="201">
        <v>5</v>
      </c>
      <c r="G245" s="194" t="s">
        <v>377</v>
      </c>
      <c r="H245" s="205">
        <v>0</v>
      </c>
      <c r="I245" s="207">
        <v>10</v>
      </c>
    </row>
    <row r="246" hidden="1" spans="1:9">
      <c r="A246" s="190">
        <v>243</v>
      </c>
      <c r="B246" s="191" t="s">
        <v>22</v>
      </c>
      <c r="C246" s="192" t="s">
        <v>301</v>
      </c>
      <c r="D246" s="192" t="s">
        <v>323</v>
      </c>
      <c r="E246" s="201">
        <v>14</v>
      </c>
      <c r="F246" s="201">
        <v>5</v>
      </c>
      <c r="G246" s="194" t="s">
        <v>377</v>
      </c>
      <c r="H246" s="205">
        <v>0</v>
      </c>
      <c r="I246" s="207">
        <v>6</v>
      </c>
    </row>
    <row r="247" hidden="1" spans="1:9">
      <c r="A247" s="190">
        <v>244</v>
      </c>
      <c r="B247" s="191" t="s">
        <v>22</v>
      </c>
      <c r="C247" s="192" t="s">
        <v>301</v>
      </c>
      <c r="D247" s="192" t="s">
        <v>324</v>
      </c>
      <c r="E247" s="201">
        <v>22</v>
      </c>
      <c r="F247" s="201">
        <v>5</v>
      </c>
      <c r="G247" s="194" t="s">
        <v>377</v>
      </c>
      <c r="H247" s="205">
        <v>0</v>
      </c>
      <c r="I247" s="207">
        <v>10</v>
      </c>
    </row>
    <row r="248" hidden="1" spans="1:9">
      <c r="A248" s="190">
        <v>245</v>
      </c>
      <c r="B248" s="191" t="s">
        <v>22</v>
      </c>
      <c r="C248" s="192" t="s">
        <v>301</v>
      </c>
      <c r="D248" s="192" t="s">
        <v>325</v>
      </c>
      <c r="E248" s="201">
        <v>14</v>
      </c>
      <c r="F248" s="201">
        <v>5</v>
      </c>
      <c r="G248" s="194" t="s">
        <v>377</v>
      </c>
      <c r="H248" s="205">
        <v>0</v>
      </c>
      <c r="I248" s="207">
        <v>13</v>
      </c>
    </row>
    <row r="249" hidden="1" spans="1:9">
      <c r="A249" s="190">
        <v>246</v>
      </c>
      <c r="B249" s="191" t="s">
        <v>22</v>
      </c>
      <c r="C249" s="192" t="s">
        <v>301</v>
      </c>
      <c r="D249" s="192" t="s">
        <v>326</v>
      </c>
      <c r="E249" s="201">
        <v>40</v>
      </c>
      <c r="F249" s="201">
        <v>5</v>
      </c>
      <c r="G249" s="194" t="s">
        <v>377</v>
      </c>
      <c r="H249" s="205">
        <v>0</v>
      </c>
      <c r="I249" s="207">
        <v>14</v>
      </c>
    </row>
    <row r="250" hidden="1" spans="1:9">
      <c r="A250" s="190"/>
      <c r="B250" s="191"/>
      <c r="C250" s="191"/>
      <c r="D250" s="192"/>
      <c r="E250" s="199"/>
      <c r="F250" s="199"/>
      <c r="G250" s="199"/>
      <c r="H250" s="191"/>
      <c r="I250" s="200"/>
    </row>
    <row r="251" hidden="1" spans="1:9">
      <c r="A251" s="190">
        <v>248</v>
      </c>
      <c r="B251" s="191" t="s">
        <v>22</v>
      </c>
      <c r="C251" s="192" t="s">
        <v>327</v>
      </c>
      <c r="D251" s="192" t="s">
        <v>328</v>
      </c>
      <c r="E251" s="204">
        <v>10</v>
      </c>
      <c r="F251" s="204">
        <v>6</v>
      </c>
      <c r="G251" s="194" t="s">
        <v>378</v>
      </c>
      <c r="H251" s="206">
        <v>0</v>
      </c>
      <c r="I251" s="207">
        <v>16</v>
      </c>
    </row>
    <row r="252" hidden="1" spans="1:9">
      <c r="A252" s="190">
        <v>249</v>
      </c>
      <c r="B252" s="191" t="s">
        <v>22</v>
      </c>
      <c r="C252" s="192" t="s">
        <v>327</v>
      </c>
      <c r="D252" s="192" t="s">
        <v>329</v>
      </c>
      <c r="E252" s="204">
        <v>11</v>
      </c>
      <c r="F252" s="204">
        <v>6</v>
      </c>
      <c r="G252" s="194" t="s">
        <v>377</v>
      </c>
      <c r="H252" s="206">
        <v>0</v>
      </c>
      <c r="I252" s="207">
        <v>13</v>
      </c>
    </row>
    <row r="253" hidden="1" spans="1:9">
      <c r="A253" s="190">
        <v>250</v>
      </c>
      <c r="B253" s="191" t="s">
        <v>22</v>
      </c>
      <c r="C253" s="192" t="s">
        <v>327</v>
      </c>
      <c r="D253" s="192" t="s">
        <v>330</v>
      </c>
      <c r="E253" s="204">
        <v>8</v>
      </c>
      <c r="F253" s="204">
        <v>5</v>
      </c>
      <c r="G253" s="194" t="s">
        <v>378</v>
      </c>
      <c r="H253" s="206">
        <v>0</v>
      </c>
      <c r="I253" s="207">
        <v>10</v>
      </c>
    </row>
    <row r="254" hidden="1" spans="1:9">
      <c r="A254" s="190">
        <v>251</v>
      </c>
      <c r="B254" s="191" t="s">
        <v>22</v>
      </c>
      <c r="C254" s="192" t="s">
        <v>327</v>
      </c>
      <c r="D254" s="192" t="s">
        <v>332</v>
      </c>
      <c r="E254" s="204">
        <v>8</v>
      </c>
      <c r="F254" s="204">
        <v>7</v>
      </c>
      <c r="G254" s="194" t="s">
        <v>378</v>
      </c>
      <c r="H254" s="206">
        <v>0</v>
      </c>
      <c r="I254" s="207">
        <v>13</v>
      </c>
    </row>
    <row r="255" hidden="1" spans="1:9">
      <c r="A255" s="190">
        <v>252</v>
      </c>
      <c r="B255" s="191" t="s">
        <v>22</v>
      </c>
      <c r="C255" s="192" t="s">
        <v>327</v>
      </c>
      <c r="D255" s="192" t="s">
        <v>333</v>
      </c>
      <c r="E255" s="204">
        <v>8</v>
      </c>
      <c r="F255" s="204">
        <v>5</v>
      </c>
      <c r="G255" s="194" t="s">
        <v>377</v>
      </c>
      <c r="H255" s="206">
        <v>0</v>
      </c>
      <c r="I255" s="207">
        <v>13</v>
      </c>
    </row>
    <row r="256" hidden="1" spans="1:9">
      <c r="A256" s="190">
        <v>253</v>
      </c>
      <c r="B256" s="191" t="s">
        <v>22</v>
      </c>
      <c r="C256" s="192" t="s">
        <v>327</v>
      </c>
      <c r="D256" s="192" t="s">
        <v>334</v>
      </c>
      <c r="E256" s="204">
        <v>7</v>
      </c>
      <c r="F256" s="204">
        <v>5</v>
      </c>
      <c r="G256" s="194" t="s">
        <v>378</v>
      </c>
      <c r="H256" s="206">
        <v>0</v>
      </c>
      <c r="I256" s="207">
        <v>14</v>
      </c>
    </row>
    <row r="257" hidden="1" spans="1:9">
      <c r="A257" s="190">
        <v>254</v>
      </c>
      <c r="B257" s="191" t="s">
        <v>22</v>
      </c>
      <c r="C257" s="192" t="s">
        <v>327</v>
      </c>
      <c r="D257" s="192" t="s">
        <v>335</v>
      </c>
      <c r="E257" s="204">
        <v>10</v>
      </c>
      <c r="F257" s="204">
        <v>5</v>
      </c>
      <c r="G257" s="194" t="s">
        <v>378</v>
      </c>
      <c r="H257" s="206">
        <v>0</v>
      </c>
      <c r="I257" s="207">
        <v>12</v>
      </c>
    </row>
    <row r="258" hidden="1" spans="1:9">
      <c r="A258" s="190">
        <v>255</v>
      </c>
      <c r="B258" s="191" t="s">
        <v>22</v>
      </c>
      <c r="C258" s="192" t="s">
        <v>327</v>
      </c>
      <c r="D258" s="192" t="s">
        <v>337</v>
      </c>
      <c r="E258" s="204">
        <v>6</v>
      </c>
      <c r="F258" s="204">
        <v>5</v>
      </c>
      <c r="G258" s="194" t="s">
        <v>377</v>
      </c>
      <c r="H258" s="206">
        <v>0</v>
      </c>
      <c r="I258" s="207">
        <v>12</v>
      </c>
    </row>
    <row r="259" hidden="1" spans="1:9">
      <c r="A259" s="190">
        <v>256</v>
      </c>
      <c r="B259" s="191" t="s">
        <v>22</v>
      </c>
      <c r="C259" s="192" t="s">
        <v>327</v>
      </c>
      <c r="D259" s="192" t="s">
        <v>338</v>
      </c>
      <c r="E259" s="204">
        <v>13</v>
      </c>
      <c r="F259" s="204">
        <v>5</v>
      </c>
      <c r="G259" s="194" t="s">
        <v>377</v>
      </c>
      <c r="H259" s="206">
        <v>0</v>
      </c>
      <c r="I259" s="207">
        <v>11</v>
      </c>
    </row>
    <row r="260" hidden="1" spans="1:9">
      <c r="A260" s="190">
        <v>257</v>
      </c>
      <c r="B260" s="191" t="s">
        <v>22</v>
      </c>
      <c r="C260" s="192" t="s">
        <v>327</v>
      </c>
      <c r="D260" s="192" t="s">
        <v>339</v>
      </c>
      <c r="E260" s="204">
        <v>12</v>
      </c>
      <c r="F260" s="204">
        <v>5</v>
      </c>
      <c r="G260" s="194" t="s">
        <v>378</v>
      </c>
      <c r="H260" s="206">
        <v>0</v>
      </c>
      <c r="I260" s="207">
        <v>11</v>
      </c>
    </row>
    <row r="261" hidden="1" spans="1:9">
      <c r="A261" s="190">
        <v>258</v>
      </c>
      <c r="B261" s="191" t="s">
        <v>22</v>
      </c>
      <c r="C261" s="192" t="s">
        <v>327</v>
      </c>
      <c r="D261" s="192" t="s">
        <v>340</v>
      </c>
      <c r="E261" s="204">
        <v>13</v>
      </c>
      <c r="F261" s="204">
        <v>5</v>
      </c>
      <c r="G261" s="194" t="s">
        <v>377</v>
      </c>
      <c r="H261" s="206">
        <v>0</v>
      </c>
      <c r="I261" s="207">
        <v>17</v>
      </c>
    </row>
    <row r="262" hidden="1" spans="1:9">
      <c r="A262" s="190">
        <v>259</v>
      </c>
      <c r="B262" s="191" t="s">
        <v>22</v>
      </c>
      <c r="C262" s="192" t="s">
        <v>327</v>
      </c>
      <c r="D262" s="192" t="s">
        <v>341</v>
      </c>
      <c r="E262" s="204">
        <v>8</v>
      </c>
      <c r="F262" s="204">
        <v>8</v>
      </c>
      <c r="G262" s="194" t="s">
        <v>377</v>
      </c>
      <c r="H262" s="206">
        <v>0</v>
      </c>
      <c r="I262" s="207">
        <v>13</v>
      </c>
    </row>
    <row r="263" hidden="1" spans="1:9">
      <c r="A263" s="190">
        <v>260</v>
      </c>
      <c r="B263" s="191" t="s">
        <v>22</v>
      </c>
      <c r="C263" s="192" t="s">
        <v>327</v>
      </c>
      <c r="D263" s="192" t="s">
        <v>342</v>
      </c>
      <c r="E263" s="204">
        <v>10</v>
      </c>
      <c r="F263" s="204">
        <v>8</v>
      </c>
      <c r="G263" s="194" t="s">
        <v>377</v>
      </c>
      <c r="H263" s="206">
        <v>0</v>
      </c>
      <c r="I263" s="207">
        <v>11</v>
      </c>
    </row>
    <row r="264" hidden="1" spans="1:9">
      <c r="A264" s="190">
        <v>261</v>
      </c>
      <c r="B264" s="191" t="s">
        <v>22</v>
      </c>
      <c r="C264" s="192" t="s">
        <v>327</v>
      </c>
      <c r="D264" s="192" t="s">
        <v>343</v>
      </c>
      <c r="E264" s="204">
        <v>6</v>
      </c>
      <c r="F264" s="204">
        <v>5</v>
      </c>
      <c r="G264" s="194" t="s">
        <v>377</v>
      </c>
      <c r="H264" s="206">
        <v>0</v>
      </c>
      <c r="I264" s="207">
        <v>14</v>
      </c>
    </row>
    <row r="265" hidden="1" spans="1:9">
      <c r="A265" s="190">
        <v>262</v>
      </c>
      <c r="B265" s="191" t="s">
        <v>22</v>
      </c>
      <c r="C265" s="192" t="s">
        <v>327</v>
      </c>
      <c r="D265" s="192" t="s">
        <v>344</v>
      </c>
      <c r="E265" s="204">
        <v>13</v>
      </c>
      <c r="F265" s="204">
        <v>5</v>
      </c>
      <c r="G265" s="194" t="s">
        <v>377</v>
      </c>
      <c r="H265" s="206">
        <v>0</v>
      </c>
      <c r="I265" s="207">
        <v>15</v>
      </c>
    </row>
    <row r="266" hidden="1" spans="1:9">
      <c r="A266" s="190">
        <v>263</v>
      </c>
      <c r="B266" s="191" t="s">
        <v>22</v>
      </c>
      <c r="C266" s="192" t="s">
        <v>327</v>
      </c>
      <c r="D266" s="192" t="s">
        <v>345</v>
      </c>
      <c r="E266" s="204">
        <v>10</v>
      </c>
      <c r="F266" s="204">
        <v>8</v>
      </c>
      <c r="G266" s="194" t="s">
        <v>377</v>
      </c>
      <c r="H266" s="206">
        <v>0</v>
      </c>
      <c r="I266" s="207">
        <v>14</v>
      </c>
    </row>
    <row r="267" hidden="1" spans="1:9">
      <c r="A267" s="190">
        <v>264</v>
      </c>
      <c r="B267" s="191" t="s">
        <v>22</v>
      </c>
      <c r="C267" s="192" t="s">
        <v>327</v>
      </c>
      <c r="D267" s="192" t="s">
        <v>346</v>
      </c>
      <c r="E267" s="204">
        <v>12</v>
      </c>
      <c r="F267" s="204">
        <v>5</v>
      </c>
      <c r="G267" s="194" t="s">
        <v>377</v>
      </c>
      <c r="H267" s="206">
        <v>0</v>
      </c>
      <c r="I267" s="207">
        <v>15</v>
      </c>
    </row>
    <row r="268" hidden="1" spans="1:9">
      <c r="A268" s="190">
        <v>265</v>
      </c>
      <c r="B268" s="191" t="s">
        <v>22</v>
      </c>
      <c r="C268" s="192" t="s">
        <v>327</v>
      </c>
      <c r="D268" s="192" t="s">
        <v>347</v>
      </c>
      <c r="E268" s="204">
        <v>8</v>
      </c>
      <c r="F268" s="204">
        <v>5</v>
      </c>
      <c r="G268" s="194" t="s">
        <v>378</v>
      </c>
      <c r="H268" s="206">
        <v>0</v>
      </c>
      <c r="I268" s="207">
        <v>17</v>
      </c>
    </row>
    <row r="269" hidden="1" spans="1:9">
      <c r="A269" s="190">
        <v>266</v>
      </c>
      <c r="B269" s="191" t="s">
        <v>22</v>
      </c>
      <c r="C269" s="192" t="s">
        <v>327</v>
      </c>
      <c r="D269" s="192" t="s">
        <v>348</v>
      </c>
      <c r="E269" s="204">
        <v>10</v>
      </c>
      <c r="F269" s="204">
        <v>5</v>
      </c>
      <c r="G269" s="194" t="s">
        <v>377</v>
      </c>
      <c r="H269" s="206">
        <v>0</v>
      </c>
      <c r="I269" s="207">
        <v>16</v>
      </c>
    </row>
    <row r="270" hidden="1" spans="1:9">
      <c r="A270" s="190">
        <v>267</v>
      </c>
      <c r="B270" s="191" t="s">
        <v>22</v>
      </c>
      <c r="C270" s="192" t="s">
        <v>327</v>
      </c>
      <c r="D270" s="192" t="s">
        <v>349</v>
      </c>
      <c r="E270" s="201">
        <v>12</v>
      </c>
      <c r="F270" s="201">
        <v>8</v>
      </c>
      <c r="G270" s="194" t="s">
        <v>377</v>
      </c>
      <c r="H270" s="208">
        <v>1</v>
      </c>
      <c r="I270" s="207">
        <v>19</v>
      </c>
    </row>
    <row r="271" hidden="1" spans="1:9">
      <c r="A271" s="190"/>
      <c r="B271" s="191"/>
      <c r="C271" s="191"/>
      <c r="D271" s="192"/>
      <c r="E271" s="199"/>
      <c r="F271" s="199"/>
      <c r="G271" s="199"/>
      <c r="H271" s="191"/>
      <c r="I271" s="200"/>
    </row>
    <row r="272" spans="1:9">
      <c r="A272" s="190">
        <v>269</v>
      </c>
      <c r="B272" s="191" t="s">
        <v>137</v>
      </c>
      <c r="C272" s="192" t="s">
        <v>350</v>
      </c>
      <c r="D272" s="192" t="s">
        <v>351</v>
      </c>
      <c r="E272" s="204">
        <v>144</v>
      </c>
      <c r="F272" s="204">
        <v>144</v>
      </c>
      <c r="G272" s="194" t="s">
        <v>377</v>
      </c>
      <c r="H272" s="206">
        <v>0</v>
      </c>
      <c r="I272" s="203">
        <v>18</v>
      </c>
    </row>
    <row r="273" spans="1:9">
      <c r="A273" s="190">
        <v>270</v>
      </c>
      <c r="B273" s="191" t="s">
        <v>137</v>
      </c>
      <c r="C273" s="192" t="s">
        <v>350</v>
      </c>
      <c r="D273" s="192" t="s">
        <v>352</v>
      </c>
      <c r="E273" s="204">
        <v>128</v>
      </c>
      <c r="F273" s="204">
        <v>128</v>
      </c>
      <c r="G273" s="194" t="s">
        <v>377</v>
      </c>
      <c r="H273" s="206">
        <v>0</v>
      </c>
      <c r="I273" s="203">
        <v>10</v>
      </c>
    </row>
    <row r="274" spans="1:9">
      <c r="A274" s="190">
        <v>271</v>
      </c>
      <c r="B274" s="191" t="s">
        <v>137</v>
      </c>
      <c r="C274" s="192" t="s">
        <v>350</v>
      </c>
      <c r="D274" s="192" t="s">
        <v>353</v>
      </c>
      <c r="E274" s="204">
        <v>120</v>
      </c>
      <c r="F274" s="204">
        <v>120</v>
      </c>
      <c r="G274" s="194" t="s">
        <v>377</v>
      </c>
      <c r="H274" s="206">
        <v>0</v>
      </c>
      <c r="I274" s="203">
        <v>20</v>
      </c>
    </row>
    <row r="275" spans="1:9">
      <c r="A275" s="190">
        <v>272</v>
      </c>
      <c r="B275" s="191" t="s">
        <v>137</v>
      </c>
      <c r="C275" s="192" t="s">
        <v>350</v>
      </c>
      <c r="D275" s="192" t="s">
        <v>354</v>
      </c>
      <c r="E275" s="204">
        <v>96</v>
      </c>
      <c r="F275" s="204">
        <v>96</v>
      </c>
      <c r="G275" s="194" t="s">
        <v>377</v>
      </c>
      <c r="H275" s="206">
        <v>0</v>
      </c>
      <c r="I275" s="203">
        <v>10</v>
      </c>
    </row>
    <row r="276" spans="1:9">
      <c r="A276" s="190">
        <v>273</v>
      </c>
      <c r="B276" s="191" t="s">
        <v>137</v>
      </c>
      <c r="C276" s="192" t="s">
        <v>350</v>
      </c>
      <c r="D276" s="192" t="s">
        <v>355</v>
      </c>
      <c r="E276" s="204">
        <v>104</v>
      </c>
      <c r="F276" s="204">
        <v>104</v>
      </c>
      <c r="G276" s="194" t="s">
        <v>377</v>
      </c>
      <c r="H276" s="206">
        <v>0</v>
      </c>
      <c r="I276" s="203">
        <v>14</v>
      </c>
    </row>
    <row r="277" spans="1:9">
      <c r="A277" s="190">
        <v>274</v>
      </c>
      <c r="B277" s="191" t="s">
        <v>137</v>
      </c>
      <c r="C277" s="192" t="s">
        <v>350</v>
      </c>
      <c r="D277" s="192" t="s">
        <v>356</v>
      </c>
      <c r="E277" s="204">
        <v>128</v>
      </c>
      <c r="F277" s="204">
        <v>128</v>
      </c>
      <c r="G277" s="194" t="s">
        <v>377</v>
      </c>
      <c r="H277" s="206">
        <v>0</v>
      </c>
      <c r="I277" s="203">
        <v>10</v>
      </c>
    </row>
    <row r="278" spans="1:9">
      <c r="A278" s="190">
        <v>275</v>
      </c>
      <c r="B278" s="191" t="s">
        <v>137</v>
      </c>
      <c r="C278" s="192" t="s">
        <v>350</v>
      </c>
      <c r="D278" s="192" t="s">
        <v>357</v>
      </c>
      <c r="E278" s="204">
        <v>144</v>
      </c>
      <c r="F278" s="204">
        <v>144</v>
      </c>
      <c r="G278" s="194" t="s">
        <v>377</v>
      </c>
      <c r="H278" s="206">
        <v>0</v>
      </c>
      <c r="I278" s="203">
        <v>7</v>
      </c>
    </row>
    <row r="279" spans="1:9">
      <c r="A279" s="190">
        <v>276</v>
      </c>
      <c r="B279" s="191" t="s">
        <v>137</v>
      </c>
      <c r="C279" s="192" t="s">
        <v>350</v>
      </c>
      <c r="D279" s="192" t="s">
        <v>358</v>
      </c>
      <c r="E279" s="204">
        <v>96</v>
      </c>
      <c r="F279" s="204">
        <v>96</v>
      </c>
      <c r="G279" s="194" t="s">
        <v>377</v>
      </c>
      <c r="H279" s="206">
        <v>0</v>
      </c>
      <c r="I279" s="203">
        <v>11</v>
      </c>
    </row>
    <row r="280" spans="1:9">
      <c r="A280" s="190">
        <v>277</v>
      </c>
      <c r="B280" s="191" t="s">
        <v>137</v>
      </c>
      <c r="C280" s="192" t="s">
        <v>350</v>
      </c>
      <c r="D280" s="192" t="s">
        <v>359</v>
      </c>
      <c r="E280" s="204">
        <v>120</v>
      </c>
      <c r="F280" s="204">
        <v>120</v>
      </c>
      <c r="G280" s="194" t="s">
        <v>377</v>
      </c>
      <c r="H280" s="206">
        <v>0</v>
      </c>
      <c r="I280" s="203">
        <v>21</v>
      </c>
    </row>
    <row r="281" spans="1:9">
      <c r="A281" s="190">
        <v>278</v>
      </c>
      <c r="B281" s="191" t="s">
        <v>137</v>
      </c>
      <c r="C281" s="192" t="s">
        <v>350</v>
      </c>
      <c r="D281" s="192" t="s">
        <v>360</v>
      </c>
      <c r="E281" s="204">
        <v>96</v>
      </c>
      <c r="F281" s="204">
        <v>96</v>
      </c>
      <c r="G281" s="194" t="s">
        <v>377</v>
      </c>
      <c r="H281" s="206">
        <v>0</v>
      </c>
      <c r="I281" s="203">
        <v>6</v>
      </c>
    </row>
    <row r="282" spans="1:9">
      <c r="A282" s="190">
        <v>279</v>
      </c>
      <c r="B282" s="191" t="s">
        <v>137</v>
      </c>
      <c r="C282" s="192" t="s">
        <v>350</v>
      </c>
      <c r="D282" s="192" t="s">
        <v>361</v>
      </c>
      <c r="E282" s="204">
        <v>128</v>
      </c>
      <c r="F282" s="204">
        <v>128</v>
      </c>
      <c r="G282" s="194" t="s">
        <v>377</v>
      </c>
      <c r="H282" s="206">
        <v>0</v>
      </c>
      <c r="I282" s="203">
        <v>13</v>
      </c>
    </row>
    <row r="283" spans="1:9">
      <c r="A283" s="190">
        <v>280</v>
      </c>
      <c r="B283" s="191" t="s">
        <v>137</v>
      </c>
      <c r="C283" s="192" t="s">
        <v>350</v>
      </c>
      <c r="D283" s="192" t="s">
        <v>362</v>
      </c>
      <c r="E283" s="204">
        <v>136</v>
      </c>
      <c r="F283" s="204">
        <v>136</v>
      </c>
      <c r="G283" s="194" t="s">
        <v>377</v>
      </c>
      <c r="H283" s="206">
        <v>0</v>
      </c>
      <c r="I283" s="203">
        <v>13</v>
      </c>
    </row>
    <row r="284" spans="1:9">
      <c r="A284" s="190">
        <v>281</v>
      </c>
      <c r="B284" s="191" t="s">
        <v>137</v>
      </c>
      <c r="C284" s="192" t="s">
        <v>350</v>
      </c>
      <c r="D284" s="192" t="s">
        <v>363</v>
      </c>
      <c r="E284" s="204">
        <v>88</v>
      </c>
      <c r="F284" s="204">
        <v>88</v>
      </c>
      <c r="G284" s="194" t="s">
        <v>377</v>
      </c>
      <c r="H284" s="206">
        <v>0</v>
      </c>
      <c r="I284" s="203">
        <v>14</v>
      </c>
    </row>
    <row r="285" spans="1:9">
      <c r="A285" s="190">
        <v>282</v>
      </c>
      <c r="B285" s="191" t="s">
        <v>137</v>
      </c>
      <c r="C285" s="192" t="s">
        <v>350</v>
      </c>
      <c r="D285" s="192" t="s">
        <v>364</v>
      </c>
      <c r="E285" s="204">
        <v>120</v>
      </c>
      <c r="F285" s="204">
        <v>120</v>
      </c>
      <c r="G285" s="194" t="s">
        <v>378</v>
      </c>
      <c r="H285" s="206">
        <v>0</v>
      </c>
      <c r="I285" s="203">
        <v>10</v>
      </c>
    </row>
    <row r="286" spans="1:9">
      <c r="A286" s="190">
        <v>283</v>
      </c>
      <c r="B286" s="191" t="s">
        <v>137</v>
      </c>
      <c r="C286" s="192" t="s">
        <v>350</v>
      </c>
      <c r="D286" s="192" t="s">
        <v>365</v>
      </c>
      <c r="E286" s="204">
        <v>128</v>
      </c>
      <c r="F286" s="204">
        <v>128</v>
      </c>
      <c r="G286" s="194" t="s">
        <v>377</v>
      </c>
      <c r="H286" s="206">
        <v>0</v>
      </c>
      <c r="I286" s="203">
        <v>11</v>
      </c>
    </row>
    <row r="287" spans="1:9">
      <c r="A287" s="190">
        <v>284</v>
      </c>
      <c r="B287" s="191" t="s">
        <v>137</v>
      </c>
      <c r="C287" s="192" t="s">
        <v>350</v>
      </c>
      <c r="D287" s="192" t="s">
        <v>366</v>
      </c>
      <c r="E287" s="204">
        <v>104</v>
      </c>
      <c r="F287" s="204">
        <v>104</v>
      </c>
      <c r="G287" s="194" t="s">
        <v>377</v>
      </c>
      <c r="H287" s="206">
        <v>0</v>
      </c>
      <c r="I287" s="203">
        <v>24</v>
      </c>
    </row>
    <row r="288" spans="1:9">
      <c r="A288" s="190">
        <v>285</v>
      </c>
      <c r="B288" s="191" t="s">
        <v>137</v>
      </c>
      <c r="C288" s="192" t="s">
        <v>350</v>
      </c>
      <c r="D288" s="192" t="s">
        <v>367</v>
      </c>
      <c r="E288" s="204">
        <v>200</v>
      </c>
      <c r="F288" s="204">
        <v>200</v>
      </c>
      <c r="G288" s="194" t="s">
        <v>377</v>
      </c>
      <c r="H288" s="206">
        <v>0</v>
      </c>
      <c r="I288" s="203">
        <v>9</v>
      </c>
    </row>
    <row r="289" spans="1:9">
      <c r="A289" s="190">
        <v>286</v>
      </c>
      <c r="B289" s="191" t="s">
        <v>137</v>
      </c>
      <c r="C289" s="192" t="s">
        <v>350</v>
      </c>
      <c r="D289" s="192" t="s">
        <v>368</v>
      </c>
      <c r="E289" s="204">
        <v>112</v>
      </c>
      <c r="F289" s="204">
        <v>112</v>
      </c>
      <c r="G289" s="194" t="s">
        <v>377</v>
      </c>
      <c r="H289" s="206">
        <v>0</v>
      </c>
      <c r="I289" s="203">
        <v>16</v>
      </c>
    </row>
    <row r="290" spans="1:9">
      <c r="A290" s="190">
        <v>287</v>
      </c>
      <c r="B290" s="191" t="s">
        <v>137</v>
      </c>
      <c r="C290" s="192" t="s">
        <v>350</v>
      </c>
      <c r="D290" s="192" t="s">
        <v>369</v>
      </c>
      <c r="E290" s="204">
        <v>112</v>
      </c>
      <c r="F290" s="204">
        <v>112</v>
      </c>
      <c r="G290" s="194" t="s">
        <v>377</v>
      </c>
      <c r="H290" s="206">
        <v>0</v>
      </c>
      <c r="I290" s="203">
        <v>12</v>
      </c>
    </row>
    <row r="291" spans="1:9">
      <c r="A291" s="190">
        <v>288</v>
      </c>
      <c r="B291" s="191" t="s">
        <v>137</v>
      </c>
      <c r="C291" s="192" t="s">
        <v>350</v>
      </c>
      <c r="D291" s="192" t="s">
        <v>370</v>
      </c>
      <c r="E291" s="204">
        <v>128</v>
      </c>
      <c r="F291" s="204">
        <v>128</v>
      </c>
      <c r="G291" s="194" t="s">
        <v>377</v>
      </c>
      <c r="H291" s="206">
        <v>0</v>
      </c>
      <c r="I291" s="203">
        <v>12</v>
      </c>
    </row>
    <row r="292" spans="1:9">
      <c r="A292" s="190">
        <v>289</v>
      </c>
      <c r="B292" s="191" t="s">
        <v>137</v>
      </c>
      <c r="C292" s="192" t="s">
        <v>350</v>
      </c>
      <c r="D292" s="192" t="s">
        <v>371</v>
      </c>
      <c r="E292" s="204">
        <v>64</v>
      </c>
      <c r="F292" s="204">
        <v>64</v>
      </c>
      <c r="G292" s="194" t="s">
        <v>377</v>
      </c>
      <c r="H292" s="206">
        <v>0</v>
      </c>
      <c r="I292" s="203">
        <v>9</v>
      </c>
    </row>
    <row r="293" hidden="1"/>
    <row r="294" hidden="1" spans="1:9">
      <c r="E294" s="156">
        <f>SUM(E3:E293)</f>
        <v>12464</v>
      </c>
      <c r="F294" s="156">
        <f>SUM(F3:F293)</f>
        <v>12166</v>
      </c>
    </row>
    <row r="295" hidden="1" spans="1:9">
      <c r="F295" s="209">
        <f>+F294/E294</f>
        <v>0.976091142490372</v>
      </c>
    </row>
    <row r="303" spans="1:9">
      <c r="G303" s="156">
        <v>2696</v>
      </c>
      <c r="H303">
        <v>8776</v>
      </c>
      <c r="I303">
        <f>G303/H303</f>
        <v>0.307201458523245</v>
      </c>
    </row>
  </sheetData>
  <autoFilter xmlns:etc="http://www.wps.cn/officeDocument/2017/etCustomData" ref="C1:C295" etc:filterBottomFollowUsedRange="0">
    <filterColumn colId="0">
      <filters>
        <filter val="ZS Boende"/>
        <filter val="ZS Djolu"/>
        <filter val="ZS Yalifafu"/>
      </filters>
    </filterColumn>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T253"/>
  <sheetViews>
    <sheetView workbookViewId="0">
      <selection activeCell="Q2" sqref="Q2:T15"/>
    </sheetView>
  </sheetViews>
  <sheetFormatPr defaultColWidth="8.90909090909091" defaultRowHeight="14.5"/>
  <cols>
    <col min="1" max="1" width="8.90909090909091" style="156"/>
    <col min="2" max="14" width="15.1818181818182" customWidth="1"/>
    <col min="15" max="15" width="16.1818181818182" customWidth="1"/>
    <col min="17" max="17" width="16.8181818181818" customWidth="1"/>
    <col min="18" max="20" width="11.3636363636364" customWidth="1"/>
  </cols>
  <sheetData>
    <row r="2" ht="28" customHeight="1" spans="1:20">
      <c r="A2" s="157" t="s">
        <v>0</v>
      </c>
      <c r="B2" s="158" t="s">
        <v>379</v>
      </c>
      <c r="C2" s="158" t="s">
        <v>380</v>
      </c>
      <c r="D2" s="158" t="s">
        <v>381</v>
      </c>
      <c r="E2" s="158" t="s">
        <v>382</v>
      </c>
      <c r="F2" s="158" t="s">
        <v>383</v>
      </c>
      <c r="G2" s="159" t="s">
        <v>384</v>
      </c>
      <c r="H2" s="158" t="s">
        <v>385</v>
      </c>
      <c r="I2" s="158" t="s">
        <v>386</v>
      </c>
      <c r="J2" s="158" t="s">
        <v>387</v>
      </c>
      <c r="K2" s="158" t="s">
        <v>388</v>
      </c>
      <c r="L2" s="159" t="s">
        <v>389</v>
      </c>
      <c r="M2" s="158" t="s">
        <v>390</v>
      </c>
      <c r="N2" s="159" t="s">
        <v>391</v>
      </c>
      <c r="O2" s="136"/>
      <c r="Q2" s="160" t="s">
        <v>380</v>
      </c>
      <c r="R2" s="161" t="s">
        <v>392</v>
      </c>
      <c r="S2" s="161" t="s">
        <v>393</v>
      </c>
      <c r="T2" s="162" t="s">
        <v>394</v>
      </c>
    </row>
    <row r="3" ht="15.25" spans="1:20">
      <c r="A3" s="157"/>
      <c r="B3" s="163"/>
      <c r="C3" s="163"/>
      <c r="D3" s="163"/>
      <c r="E3" s="163"/>
      <c r="F3" s="163"/>
      <c r="G3" s="164"/>
      <c r="H3" s="163"/>
      <c r="I3" s="163"/>
      <c r="J3" s="163"/>
      <c r="K3" s="163"/>
      <c r="L3" s="164"/>
      <c r="M3" s="163"/>
      <c r="N3" s="164"/>
      <c r="O3" s="136"/>
      <c r="Q3" s="165" t="s">
        <v>395</v>
      </c>
      <c r="R3" s="166">
        <v>22</v>
      </c>
      <c r="S3" s="166">
        <v>15</v>
      </c>
      <c r="T3" s="167">
        <f t="shared" ref="T3:T15" si="0">S3/R3</f>
        <v>0.681818181818182</v>
      </c>
    </row>
    <row r="4" spans="1:20">
      <c r="A4" s="227" t="s">
        <v>21</v>
      </c>
      <c r="B4" s="168" t="s">
        <v>396</v>
      </c>
      <c r="C4" s="90" t="s">
        <v>397</v>
      </c>
      <c r="D4" s="90" t="s">
        <v>24</v>
      </c>
      <c r="E4" s="169">
        <v>0.7278935</v>
      </c>
      <c r="F4" s="169">
        <v>20.735347</v>
      </c>
      <c r="G4" s="168" t="s">
        <v>398</v>
      </c>
      <c r="H4" s="168" t="s">
        <v>399</v>
      </c>
      <c r="I4" s="170" t="s">
        <v>400</v>
      </c>
      <c r="J4" s="170"/>
      <c r="K4" s="168" t="s">
        <v>401</v>
      </c>
      <c r="L4" s="168">
        <v>2016</v>
      </c>
      <c r="M4" s="168" t="s">
        <v>402</v>
      </c>
      <c r="N4" s="168" t="s">
        <v>403</v>
      </c>
      <c r="O4" s="136"/>
      <c r="Q4" s="165" t="s">
        <v>22</v>
      </c>
      <c r="R4" s="166">
        <v>34</v>
      </c>
      <c r="S4" s="166">
        <v>34</v>
      </c>
      <c r="T4" s="167">
        <f t="shared" si="0"/>
        <v>1</v>
      </c>
    </row>
    <row r="5" spans="1:20">
      <c r="A5" s="228" t="s">
        <v>27</v>
      </c>
      <c r="B5" s="171" t="s">
        <v>396</v>
      </c>
      <c r="C5" s="95" t="s">
        <v>397</v>
      </c>
      <c r="D5" s="95" t="s">
        <v>28</v>
      </c>
      <c r="E5" s="172">
        <v>0.3953749</v>
      </c>
      <c r="F5" s="172">
        <v>20.83996</v>
      </c>
      <c r="G5" s="171" t="s">
        <v>398</v>
      </c>
      <c r="H5" s="171" t="s">
        <v>399</v>
      </c>
      <c r="I5" s="173" t="s">
        <v>400</v>
      </c>
      <c r="J5" s="173"/>
      <c r="K5" s="173" t="s">
        <v>404</v>
      </c>
      <c r="L5" s="174">
        <v>43325</v>
      </c>
      <c r="M5" s="171" t="s">
        <v>402</v>
      </c>
      <c r="N5" s="171" t="s">
        <v>403</v>
      </c>
      <c r="O5" s="136"/>
      <c r="Q5" s="165" t="s">
        <v>137</v>
      </c>
      <c r="R5" s="166">
        <v>25</v>
      </c>
      <c r="S5" s="166">
        <v>16</v>
      </c>
      <c r="T5" s="167">
        <f t="shared" si="0"/>
        <v>0.64</v>
      </c>
    </row>
    <row r="6" spans="1:20">
      <c r="A6" s="227" t="s">
        <v>30</v>
      </c>
      <c r="B6" s="168" t="s">
        <v>396</v>
      </c>
      <c r="C6" s="90" t="s">
        <v>397</v>
      </c>
      <c r="D6" s="90" t="s">
        <v>31</v>
      </c>
      <c r="E6" s="169">
        <v>0.0237277</v>
      </c>
      <c r="F6" s="169">
        <v>20.7217847</v>
      </c>
      <c r="G6" s="168" t="s">
        <v>398</v>
      </c>
      <c r="H6" s="168" t="s">
        <v>399</v>
      </c>
      <c r="I6" s="170" t="s">
        <v>400</v>
      </c>
      <c r="J6" s="170"/>
      <c r="K6" s="168" t="s">
        <v>401</v>
      </c>
      <c r="L6" s="168">
        <v>2016</v>
      </c>
      <c r="M6" s="168" t="s">
        <v>402</v>
      </c>
      <c r="N6" s="168" t="s">
        <v>403</v>
      </c>
      <c r="O6" s="136"/>
      <c r="Q6" s="165" t="s">
        <v>405</v>
      </c>
      <c r="R6" s="166">
        <v>17</v>
      </c>
      <c r="S6" s="166">
        <v>14</v>
      </c>
      <c r="T6" s="167">
        <f t="shared" si="0"/>
        <v>0.823529411764706</v>
      </c>
    </row>
    <row r="7" spans="1:20">
      <c r="A7" s="228" t="s">
        <v>32</v>
      </c>
      <c r="B7" s="171" t="s">
        <v>396</v>
      </c>
      <c r="C7" s="95" t="s">
        <v>397</v>
      </c>
      <c r="D7" s="95" t="s">
        <v>33</v>
      </c>
      <c r="E7" s="172">
        <v>0.576711</v>
      </c>
      <c r="F7" s="172">
        <v>20.9820229</v>
      </c>
      <c r="G7" s="171" t="s">
        <v>398</v>
      </c>
      <c r="H7" s="171" t="s">
        <v>399</v>
      </c>
      <c r="I7" s="173" t="s">
        <v>400</v>
      </c>
      <c r="J7" s="173"/>
      <c r="K7" s="171" t="s">
        <v>401</v>
      </c>
      <c r="L7" s="171">
        <v>2016</v>
      </c>
      <c r="M7" s="171" t="s">
        <v>402</v>
      </c>
      <c r="N7" s="171" t="s">
        <v>403</v>
      </c>
      <c r="O7" s="136"/>
      <c r="Q7" s="165" t="s">
        <v>406</v>
      </c>
      <c r="R7" s="166">
        <v>28</v>
      </c>
      <c r="S7" s="166">
        <v>25</v>
      </c>
      <c r="T7" s="167">
        <f t="shared" si="0"/>
        <v>0.892857142857143</v>
      </c>
    </row>
    <row r="8" spans="1:20">
      <c r="A8" s="227" t="s">
        <v>34</v>
      </c>
      <c r="B8" s="168" t="s">
        <v>396</v>
      </c>
      <c r="C8" s="90" t="s">
        <v>397</v>
      </c>
      <c r="D8" s="90" t="s">
        <v>40</v>
      </c>
      <c r="E8" s="169">
        <v>0.3913303</v>
      </c>
      <c r="F8" s="169">
        <v>20.84147</v>
      </c>
      <c r="G8" s="168" t="s">
        <v>398</v>
      </c>
      <c r="H8" s="168" t="s">
        <v>399</v>
      </c>
      <c r="I8" s="170" t="s">
        <v>400</v>
      </c>
      <c r="J8" s="170"/>
      <c r="K8" s="168" t="s">
        <v>401</v>
      </c>
      <c r="L8" s="168">
        <v>2016</v>
      </c>
      <c r="M8" s="168" t="s">
        <v>402</v>
      </c>
      <c r="N8" s="168" t="s">
        <v>403</v>
      </c>
      <c r="O8" s="136"/>
      <c r="Q8" s="165" t="s">
        <v>407</v>
      </c>
      <c r="R8" s="166">
        <v>27</v>
      </c>
      <c r="S8" s="166">
        <v>25</v>
      </c>
      <c r="T8" s="167">
        <f t="shared" si="0"/>
        <v>0.925925925925926</v>
      </c>
    </row>
    <row r="9" spans="1:20">
      <c r="A9" s="228" t="s">
        <v>37</v>
      </c>
      <c r="B9" s="171" t="s">
        <v>396</v>
      </c>
      <c r="C9" s="95" t="s">
        <v>397</v>
      </c>
      <c r="D9" s="95" t="s">
        <v>42</v>
      </c>
      <c r="E9" s="172">
        <v>0.8583317</v>
      </c>
      <c r="F9" s="172">
        <v>20.5610675</v>
      </c>
      <c r="G9" s="171" t="s">
        <v>398</v>
      </c>
      <c r="H9" s="171" t="s">
        <v>399</v>
      </c>
      <c r="I9" s="173" t="s">
        <v>400</v>
      </c>
      <c r="J9" s="173"/>
      <c r="K9" s="171" t="s">
        <v>401</v>
      </c>
      <c r="L9" s="171">
        <v>2016</v>
      </c>
      <c r="M9" s="171" t="s">
        <v>408</v>
      </c>
      <c r="N9" s="171" t="s">
        <v>403</v>
      </c>
      <c r="O9" s="136"/>
      <c r="Q9" s="165" t="s">
        <v>409</v>
      </c>
      <c r="R9" s="166">
        <v>19</v>
      </c>
      <c r="S9" s="166">
        <v>16</v>
      </c>
      <c r="T9" s="167">
        <f t="shared" si="0"/>
        <v>0.842105263157895</v>
      </c>
    </row>
    <row r="10" spans="1:20">
      <c r="A10" s="227" t="s">
        <v>39</v>
      </c>
      <c r="B10" s="168" t="s">
        <v>396</v>
      </c>
      <c r="C10" s="90" t="s">
        <v>397</v>
      </c>
      <c r="D10" s="90" t="s">
        <v>46</v>
      </c>
      <c r="E10" s="169">
        <v>0.9891898</v>
      </c>
      <c r="F10" s="169">
        <v>20.5763165</v>
      </c>
      <c r="G10" s="168" t="s">
        <v>398</v>
      </c>
      <c r="H10" s="168" t="s">
        <v>399</v>
      </c>
      <c r="I10" s="170" t="s">
        <v>400</v>
      </c>
      <c r="J10" s="170"/>
      <c r="K10" s="168" t="s">
        <v>401</v>
      </c>
      <c r="L10" s="168">
        <v>2016</v>
      </c>
      <c r="M10" s="168" t="s">
        <v>402</v>
      </c>
      <c r="N10" s="168" t="s">
        <v>403</v>
      </c>
      <c r="O10" s="136"/>
      <c r="Q10" s="165" t="s">
        <v>410</v>
      </c>
      <c r="R10" s="166">
        <v>16</v>
      </c>
      <c r="S10" s="166">
        <v>15</v>
      </c>
      <c r="T10" s="167">
        <f t="shared" si="0"/>
        <v>0.9375</v>
      </c>
    </row>
    <row r="11" spans="1:20">
      <c r="A11" s="228" t="s">
        <v>41</v>
      </c>
      <c r="B11" s="171" t="s">
        <v>396</v>
      </c>
      <c r="C11" s="95" t="s">
        <v>397</v>
      </c>
      <c r="D11" s="95" t="s">
        <v>48</v>
      </c>
      <c r="E11" s="172">
        <v>0.3913303</v>
      </c>
      <c r="F11" s="172">
        <v>20.84147</v>
      </c>
      <c r="G11" s="171" t="s">
        <v>398</v>
      </c>
      <c r="H11" s="171" t="s">
        <v>399</v>
      </c>
      <c r="I11" s="173" t="s">
        <v>400</v>
      </c>
      <c r="J11" s="175" t="s">
        <v>411</v>
      </c>
      <c r="K11" s="173" t="s">
        <v>404</v>
      </c>
      <c r="L11" s="174">
        <v>43337</v>
      </c>
      <c r="M11" s="171" t="s">
        <v>408</v>
      </c>
      <c r="N11" s="171" t="s">
        <v>403</v>
      </c>
      <c r="O11" s="136"/>
      <c r="Q11" s="165" t="s">
        <v>412</v>
      </c>
      <c r="R11" s="166">
        <v>22</v>
      </c>
      <c r="S11" s="166">
        <v>20</v>
      </c>
      <c r="T11" s="167">
        <f t="shared" si="0"/>
        <v>0.909090909090909</v>
      </c>
    </row>
    <row r="12" spans="1:20">
      <c r="A12" s="227" t="s">
        <v>43</v>
      </c>
      <c r="B12" s="168" t="s">
        <v>396</v>
      </c>
      <c r="C12" s="90" t="s">
        <v>397</v>
      </c>
      <c r="D12" s="90" t="s">
        <v>50</v>
      </c>
      <c r="E12" s="169">
        <v>0.79062</v>
      </c>
      <c r="F12" s="169">
        <v>20.61426</v>
      </c>
      <c r="G12" s="168" t="s">
        <v>398</v>
      </c>
      <c r="H12" s="168" t="s">
        <v>399</v>
      </c>
      <c r="I12" s="168" t="s">
        <v>400</v>
      </c>
      <c r="J12" s="168"/>
      <c r="K12" s="168" t="s">
        <v>413</v>
      </c>
      <c r="L12" s="168">
        <v>2023</v>
      </c>
      <c r="M12" s="168" t="s">
        <v>402</v>
      </c>
      <c r="N12" s="168" t="s">
        <v>403</v>
      </c>
      <c r="O12" s="136"/>
      <c r="Q12" s="165" t="s">
        <v>414</v>
      </c>
      <c r="R12" s="166">
        <v>25</v>
      </c>
      <c r="S12" s="166">
        <v>22</v>
      </c>
      <c r="T12" s="167">
        <f t="shared" si="0"/>
        <v>0.88</v>
      </c>
    </row>
    <row r="13" spans="1:20">
      <c r="A13" s="228" t="s">
        <v>45</v>
      </c>
      <c r="B13" s="171" t="s">
        <v>396</v>
      </c>
      <c r="C13" s="95" t="s">
        <v>397</v>
      </c>
      <c r="D13" s="95" t="s">
        <v>54</v>
      </c>
      <c r="E13" s="172">
        <v>0.3913303</v>
      </c>
      <c r="F13" s="172">
        <v>20.84147</v>
      </c>
      <c r="G13" s="171" t="s">
        <v>398</v>
      </c>
      <c r="H13" s="171" t="s">
        <v>399</v>
      </c>
      <c r="I13" s="173" t="s">
        <v>400</v>
      </c>
      <c r="J13" s="173"/>
      <c r="K13" s="173" t="s">
        <v>415</v>
      </c>
      <c r="L13" s="171">
        <v>2019</v>
      </c>
      <c r="M13" s="171" t="s">
        <v>402</v>
      </c>
      <c r="N13" s="171" t="s">
        <v>403</v>
      </c>
      <c r="O13" s="136"/>
      <c r="Q13" s="165" t="s">
        <v>416</v>
      </c>
      <c r="R13" s="166">
        <v>20</v>
      </c>
      <c r="S13" s="166">
        <v>19</v>
      </c>
      <c r="T13" s="167">
        <f t="shared" si="0"/>
        <v>0.95</v>
      </c>
    </row>
    <row r="14" spans="1:20">
      <c r="A14" s="227" t="s">
        <v>47</v>
      </c>
      <c r="B14" s="168" t="s">
        <v>396</v>
      </c>
      <c r="C14" s="90" t="s">
        <v>397</v>
      </c>
      <c r="D14" s="90" t="s">
        <v>56</v>
      </c>
      <c r="E14" s="169">
        <v>0.2350569</v>
      </c>
      <c r="F14" s="169">
        <v>20.8968318</v>
      </c>
      <c r="G14" s="168" t="s">
        <v>398</v>
      </c>
      <c r="H14" s="168" t="s">
        <v>399</v>
      </c>
      <c r="I14" s="170" t="s">
        <v>400</v>
      </c>
      <c r="J14" s="170"/>
      <c r="K14" s="170" t="s">
        <v>404</v>
      </c>
      <c r="L14" s="176">
        <v>43323</v>
      </c>
      <c r="M14" s="168" t="s">
        <v>402</v>
      </c>
      <c r="N14" s="168" t="s">
        <v>403</v>
      </c>
      <c r="O14" s="136"/>
      <c r="Q14" s="165" t="s">
        <v>417</v>
      </c>
      <c r="R14" s="166">
        <v>21</v>
      </c>
      <c r="S14" s="166">
        <v>18</v>
      </c>
      <c r="T14" s="167">
        <f t="shared" si="0"/>
        <v>0.857142857142857</v>
      </c>
    </row>
    <row r="15" spans="1:20">
      <c r="A15" s="228" t="s">
        <v>49</v>
      </c>
      <c r="B15" s="171" t="s">
        <v>396</v>
      </c>
      <c r="C15" s="95" t="s">
        <v>397</v>
      </c>
      <c r="D15" s="95" t="s">
        <v>60</v>
      </c>
      <c r="E15" s="172">
        <v>0.7792383</v>
      </c>
      <c r="F15" s="172">
        <v>20.8619817</v>
      </c>
      <c r="G15" s="171" t="s">
        <v>398</v>
      </c>
      <c r="H15" s="171" t="s">
        <v>399</v>
      </c>
      <c r="I15" s="173" t="s">
        <v>400</v>
      </c>
      <c r="J15" s="173"/>
      <c r="K15" s="171" t="s">
        <v>401</v>
      </c>
      <c r="L15" s="171">
        <v>2016</v>
      </c>
      <c r="M15" s="171" t="s">
        <v>402</v>
      </c>
      <c r="N15" s="171" t="s">
        <v>403</v>
      </c>
      <c r="O15" s="136"/>
      <c r="Q15" s="177" t="s">
        <v>418</v>
      </c>
      <c r="R15" s="178">
        <f>SUM(R3:R14)</f>
        <v>276</v>
      </c>
      <c r="S15" s="178">
        <f>SUM(S3:S14)</f>
        <v>239</v>
      </c>
      <c r="T15" s="179">
        <f t="shared" si="0"/>
        <v>0.865942028985507</v>
      </c>
    </row>
    <row r="16" spans="1:20">
      <c r="A16" s="227" t="s">
        <v>51</v>
      </c>
      <c r="B16" s="168" t="s">
        <v>396</v>
      </c>
      <c r="C16" s="90" t="s">
        <v>397</v>
      </c>
      <c r="D16" s="90" t="s">
        <v>62</v>
      </c>
      <c r="E16" s="169">
        <v>0.63213</v>
      </c>
      <c r="F16" s="169">
        <v>20.9456283</v>
      </c>
      <c r="G16" s="168" t="s">
        <v>398</v>
      </c>
      <c r="H16" s="168" t="s">
        <v>399</v>
      </c>
      <c r="I16" s="170" t="s">
        <v>400</v>
      </c>
      <c r="J16" s="180" t="s">
        <v>419</v>
      </c>
      <c r="K16" s="170" t="s">
        <v>415</v>
      </c>
      <c r="L16" s="168">
        <v>2019</v>
      </c>
      <c r="M16" s="168" t="s">
        <v>408</v>
      </c>
      <c r="N16" s="168" t="s">
        <v>403</v>
      </c>
      <c r="O16" s="136"/>
    </row>
    <row r="17" spans="1:15">
      <c r="A17" s="228" t="s">
        <v>53</v>
      </c>
      <c r="B17" s="171" t="s">
        <v>396</v>
      </c>
      <c r="C17" s="95" t="s">
        <v>397</v>
      </c>
      <c r="D17" s="95" t="s">
        <v>66</v>
      </c>
      <c r="E17" s="172">
        <v>0.0960533</v>
      </c>
      <c r="F17" s="172">
        <v>20.88237</v>
      </c>
      <c r="G17" s="171" t="s">
        <v>398</v>
      </c>
      <c r="H17" s="171" t="s">
        <v>399</v>
      </c>
      <c r="I17" s="173" t="s">
        <v>400</v>
      </c>
      <c r="J17" s="173"/>
      <c r="K17" s="171" t="s">
        <v>401</v>
      </c>
      <c r="L17" s="171">
        <v>2016</v>
      </c>
      <c r="M17" s="171" t="s">
        <v>402</v>
      </c>
      <c r="N17" s="171" t="s">
        <v>403</v>
      </c>
      <c r="O17" s="136"/>
    </row>
    <row r="18" spans="1:15">
      <c r="A18" s="227" t="s">
        <v>55</v>
      </c>
      <c r="B18" s="168" t="s">
        <v>396</v>
      </c>
      <c r="C18" s="90" t="s">
        <v>397</v>
      </c>
      <c r="D18" s="90" t="s">
        <v>68</v>
      </c>
      <c r="E18" s="169">
        <v>0.8765783</v>
      </c>
      <c r="F18" s="169">
        <v>20.9078772</v>
      </c>
      <c r="G18" s="168" t="s">
        <v>398</v>
      </c>
      <c r="H18" s="168" t="s">
        <v>399</v>
      </c>
      <c r="I18" s="170" t="s">
        <v>400</v>
      </c>
      <c r="J18" s="170"/>
      <c r="K18" s="168" t="s">
        <v>401</v>
      </c>
      <c r="L18" s="168">
        <v>2016</v>
      </c>
      <c r="M18" s="168" t="s">
        <v>402</v>
      </c>
      <c r="N18" s="168" t="s">
        <v>403</v>
      </c>
      <c r="O18" s="136"/>
    </row>
    <row r="19" spans="1:15">
      <c r="A19" s="100"/>
      <c r="B19" s="96"/>
      <c r="C19" s="95"/>
      <c r="D19" s="95"/>
      <c r="E19" s="96"/>
      <c r="F19" s="96"/>
      <c r="G19" s="96"/>
      <c r="H19" s="96"/>
      <c r="I19" s="96"/>
      <c r="J19" s="96"/>
      <c r="K19" s="96"/>
      <c r="L19" s="96"/>
      <c r="M19" s="96"/>
      <c r="N19" s="96"/>
      <c r="O19" s="136"/>
    </row>
    <row r="20" spans="1:15">
      <c r="A20" s="101">
        <v>16</v>
      </c>
      <c r="B20" s="168" t="s">
        <v>396</v>
      </c>
      <c r="C20" s="90" t="s">
        <v>420</v>
      </c>
      <c r="D20" s="90" t="s">
        <v>72</v>
      </c>
      <c r="E20" s="169">
        <v>-0.1102246</v>
      </c>
      <c r="F20" s="169">
        <v>20.6444824</v>
      </c>
      <c r="G20" s="168" t="s">
        <v>398</v>
      </c>
      <c r="H20" s="168" t="s">
        <v>399</v>
      </c>
      <c r="I20" s="170" t="s">
        <v>400</v>
      </c>
      <c r="J20" s="170"/>
      <c r="K20" s="170" t="s">
        <v>401</v>
      </c>
      <c r="L20" s="168">
        <v>2016</v>
      </c>
      <c r="M20" s="170" t="s">
        <v>402</v>
      </c>
      <c r="N20" s="170" t="s">
        <v>403</v>
      </c>
      <c r="O20" s="136"/>
    </row>
    <row r="21" spans="1:15">
      <c r="A21" s="100">
        <v>17</v>
      </c>
      <c r="B21" s="171" t="s">
        <v>396</v>
      </c>
      <c r="C21" s="95" t="s">
        <v>420</v>
      </c>
      <c r="D21" s="95" t="s">
        <v>73</v>
      </c>
      <c r="E21" s="172">
        <v>-0.0443802</v>
      </c>
      <c r="F21" s="172">
        <v>21.3492139</v>
      </c>
      <c r="G21" s="171" t="s">
        <v>398</v>
      </c>
      <c r="H21" s="171" t="s">
        <v>399</v>
      </c>
      <c r="I21" s="173" t="s">
        <v>400</v>
      </c>
      <c r="J21" s="173"/>
      <c r="K21" s="173" t="s">
        <v>401</v>
      </c>
      <c r="L21" s="171">
        <v>2016</v>
      </c>
      <c r="M21" s="173" t="s">
        <v>402</v>
      </c>
      <c r="N21" s="173" t="s">
        <v>403</v>
      </c>
      <c r="O21" s="136"/>
    </row>
    <row r="22" spans="1:15">
      <c r="A22" s="101">
        <v>18</v>
      </c>
      <c r="B22" s="168" t="s">
        <v>396</v>
      </c>
      <c r="C22" s="90" t="s">
        <v>420</v>
      </c>
      <c r="D22" s="90" t="s">
        <v>74</v>
      </c>
      <c r="E22" s="169">
        <v>-0.2904521</v>
      </c>
      <c r="F22" s="169">
        <v>20.8895894</v>
      </c>
      <c r="G22" s="168" t="s">
        <v>398</v>
      </c>
      <c r="H22" s="168" t="s">
        <v>399</v>
      </c>
      <c r="I22" s="170" t="s">
        <v>400</v>
      </c>
      <c r="J22" s="170"/>
      <c r="K22" s="170" t="s">
        <v>404</v>
      </c>
      <c r="L22" s="176">
        <v>43327</v>
      </c>
      <c r="M22" s="168" t="s">
        <v>402</v>
      </c>
      <c r="N22" s="168" t="s">
        <v>403</v>
      </c>
      <c r="O22" s="136"/>
    </row>
    <row r="23" spans="1:15">
      <c r="A23" s="100">
        <v>19</v>
      </c>
      <c r="B23" s="171" t="s">
        <v>396</v>
      </c>
      <c r="C23" s="95" t="s">
        <v>420</v>
      </c>
      <c r="D23" s="95" t="s">
        <v>76</v>
      </c>
      <c r="E23" s="172">
        <v>-0.2823107</v>
      </c>
      <c r="F23" s="172">
        <v>20.8773946</v>
      </c>
      <c r="G23" s="171" t="s">
        <v>398</v>
      </c>
      <c r="H23" s="171" t="s">
        <v>399</v>
      </c>
      <c r="I23" s="173" t="s">
        <v>400</v>
      </c>
      <c r="J23" s="173"/>
      <c r="K23" s="173" t="s">
        <v>401</v>
      </c>
      <c r="L23" s="171">
        <v>2016</v>
      </c>
      <c r="M23" s="173" t="s">
        <v>408</v>
      </c>
      <c r="N23" s="173" t="s">
        <v>403</v>
      </c>
      <c r="O23" s="136"/>
    </row>
    <row r="24" spans="1:15">
      <c r="A24" s="101">
        <v>20</v>
      </c>
      <c r="B24" s="168" t="s">
        <v>396</v>
      </c>
      <c r="C24" s="90" t="s">
        <v>420</v>
      </c>
      <c r="D24" s="90" t="s">
        <v>77</v>
      </c>
      <c r="E24" s="169">
        <v>-0.2218136</v>
      </c>
      <c r="F24" s="169">
        <v>20.6461152</v>
      </c>
      <c r="G24" s="168" t="s">
        <v>398</v>
      </c>
      <c r="H24" s="168" t="s">
        <v>399</v>
      </c>
      <c r="I24" s="170" t="s">
        <v>400</v>
      </c>
      <c r="J24" s="170"/>
      <c r="K24" s="170" t="s">
        <v>415</v>
      </c>
      <c r="L24" s="168">
        <v>2019</v>
      </c>
      <c r="M24" s="168" t="s">
        <v>402</v>
      </c>
      <c r="N24" s="168" t="s">
        <v>403</v>
      </c>
      <c r="O24" s="136"/>
    </row>
    <row r="25" spans="1:15">
      <c r="A25" s="100">
        <v>21</v>
      </c>
      <c r="B25" s="171" t="s">
        <v>396</v>
      </c>
      <c r="C25" s="95" t="s">
        <v>420</v>
      </c>
      <c r="D25" s="95" t="s">
        <v>78</v>
      </c>
      <c r="E25" s="172">
        <v>-0.4997599</v>
      </c>
      <c r="F25" s="172">
        <v>20.3613407</v>
      </c>
      <c r="G25" s="171" t="s">
        <v>398</v>
      </c>
      <c r="H25" s="171" t="s">
        <v>399</v>
      </c>
      <c r="I25" s="173" t="s">
        <v>400</v>
      </c>
      <c r="J25" s="173"/>
      <c r="K25" s="173" t="s">
        <v>401</v>
      </c>
      <c r="L25" s="171">
        <v>2016</v>
      </c>
      <c r="M25" s="173" t="s">
        <v>402</v>
      </c>
      <c r="N25" s="173" t="s">
        <v>403</v>
      </c>
      <c r="O25" s="136"/>
    </row>
    <row r="26" spans="1:15">
      <c r="A26" s="101">
        <v>22</v>
      </c>
      <c r="B26" s="168" t="s">
        <v>396</v>
      </c>
      <c r="C26" s="90" t="s">
        <v>420</v>
      </c>
      <c r="D26" s="90" t="s">
        <v>79</v>
      </c>
      <c r="E26" s="169">
        <v>0.0051899</v>
      </c>
      <c r="F26" s="169">
        <v>20.9853019</v>
      </c>
      <c r="G26" s="168" t="s">
        <v>398</v>
      </c>
      <c r="H26" s="168" t="s">
        <v>399</v>
      </c>
      <c r="I26" s="170" t="s">
        <v>400</v>
      </c>
      <c r="J26" s="170"/>
      <c r="K26" s="170" t="s">
        <v>401</v>
      </c>
      <c r="L26" s="168">
        <v>2016</v>
      </c>
      <c r="M26" s="170" t="s">
        <v>402</v>
      </c>
      <c r="N26" s="170" t="s">
        <v>403</v>
      </c>
      <c r="O26" s="136"/>
    </row>
    <row r="27" spans="1:15">
      <c r="A27" s="100">
        <v>23</v>
      </c>
      <c r="B27" s="171" t="s">
        <v>396</v>
      </c>
      <c r="C27" s="95" t="s">
        <v>420</v>
      </c>
      <c r="D27" s="95" t="s">
        <v>80</v>
      </c>
      <c r="E27" s="172">
        <v>-0.0724427</v>
      </c>
      <c r="F27" s="172">
        <v>20.9441443</v>
      </c>
      <c r="G27" s="171" t="s">
        <v>398</v>
      </c>
      <c r="H27" s="171" t="s">
        <v>399</v>
      </c>
      <c r="I27" s="171" t="s">
        <v>400</v>
      </c>
      <c r="J27" s="171"/>
      <c r="K27" s="171" t="s">
        <v>413</v>
      </c>
      <c r="L27" s="171">
        <v>2023</v>
      </c>
      <c r="M27" s="171" t="s">
        <v>402</v>
      </c>
      <c r="N27" s="171" t="s">
        <v>403</v>
      </c>
      <c r="O27" s="136"/>
    </row>
    <row r="28" spans="1:15">
      <c r="A28" s="101">
        <v>24</v>
      </c>
      <c r="B28" s="168" t="s">
        <v>396</v>
      </c>
      <c r="C28" s="90" t="s">
        <v>420</v>
      </c>
      <c r="D28" s="90" t="s">
        <v>81</v>
      </c>
      <c r="E28" s="169">
        <v>-0.2803657</v>
      </c>
      <c r="F28" s="169">
        <v>20.8890648</v>
      </c>
      <c r="G28" s="168" t="s">
        <v>398</v>
      </c>
      <c r="H28" s="168" t="s">
        <v>399</v>
      </c>
      <c r="I28" s="168" t="s">
        <v>400</v>
      </c>
      <c r="J28" s="168"/>
      <c r="K28" s="168" t="s">
        <v>413</v>
      </c>
      <c r="L28" s="168">
        <v>2023</v>
      </c>
      <c r="M28" s="168" t="s">
        <v>402</v>
      </c>
      <c r="N28" s="168" t="s">
        <v>403</v>
      </c>
      <c r="O28" s="136"/>
    </row>
    <row r="29" spans="1:15">
      <c r="A29" s="100">
        <v>25</v>
      </c>
      <c r="B29" s="171" t="s">
        <v>396</v>
      </c>
      <c r="C29" s="95" t="s">
        <v>420</v>
      </c>
      <c r="D29" s="95" t="s">
        <v>82</v>
      </c>
      <c r="E29" s="172">
        <v>-0.2326963</v>
      </c>
      <c r="F29" s="172">
        <v>21.239833</v>
      </c>
      <c r="G29" s="171" t="s">
        <v>398</v>
      </c>
      <c r="H29" s="171" t="s">
        <v>399</v>
      </c>
      <c r="I29" s="173" t="s">
        <v>400</v>
      </c>
      <c r="J29" s="173"/>
      <c r="K29" s="173" t="s">
        <v>401</v>
      </c>
      <c r="L29" s="171">
        <v>2016</v>
      </c>
      <c r="M29" s="173" t="s">
        <v>402</v>
      </c>
      <c r="N29" s="173" t="s">
        <v>403</v>
      </c>
      <c r="O29" s="136"/>
    </row>
    <row r="30" spans="1:15">
      <c r="A30" s="101">
        <v>26</v>
      </c>
      <c r="B30" s="168" t="s">
        <v>396</v>
      </c>
      <c r="C30" s="90" t="s">
        <v>420</v>
      </c>
      <c r="D30" s="90" t="s">
        <v>83</v>
      </c>
      <c r="E30" s="169">
        <v>-0.2792678</v>
      </c>
      <c r="F30" s="169">
        <v>20.8839891</v>
      </c>
      <c r="G30" s="168" t="s">
        <v>398</v>
      </c>
      <c r="H30" s="168" t="s">
        <v>399</v>
      </c>
      <c r="I30" s="170" t="s">
        <v>400</v>
      </c>
      <c r="J30" s="170"/>
      <c r="K30" s="170" t="s">
        <v>415</v>
      </c>
      <c r="L30" s="168">
        <v>2019</v>
      </c>
      <c r="M30" s="168" t="s">
        <v>402</v>
      </c>
      <c r="N30" s="168" t="s">
        <v>403</v>
      </c>
      <c r="O30" s="136"/>
    </row>
    <row r="31" spans="1:15">
      <c r="A31" s="100">
        <v>27</v>
      </c>
      <c r="B31" s="171" t="s">
        <v>396</v>
      </c>
      <c r="C31" s="95" t="s">
        <v>420</v>
      </c>
      <c r="D31" s="95" t="s">
        <v>84</v>
      </c>
      <c r="E31" s="172">
        <v>-0.599795</v>
      </c>
      <c r="F31" s="172">
        <v>21.1666983</v>
      </c>
      <c r="G31" s="171" t="s">
        <v>398</v>
      </c>
      <c r="H31" s="171" t="s">
        <v>399</v>
      </c>
      <c r="I31" s="173" t="s">
        <v>400</v>
      </c>
      <c r="J31" s="173"/>
      <c r="K31" s="173" t="s">
        <v>401</v>
      </c>
      <c r="L31" s="171">
        <v>2016</v>
      </c>
      <c r="M31" s="173" t="s">
        <v>402</v>
      </c>
      <c r="N31" s="173" t="s">
        <v>403</v>
      </c>
      <c r="O31" s="136"/>
    </row>
    <row r="32" spans="1:15">
      <c r="A32" s="101">
        <v>28</v>
      </c>
      <c r="B32" s="168" t="s">
        <v>396</v>
      </c>
      <c r="C32" s="90" t="s">
        <v>420</v>
      </c>
      <c r="D32" s="90" t="s">
        <v>85</v>
      </c>
      <c r="E32" s="169">
        <v>-0.5869391</v>
      </c>
      <c r="F32" s="169">
        <v>21.0937434</v>
      </c>
      <c r="G32" s="168" t="s">
        <v>398</v>
      </c>
      <c r="H32" s="168" t="s">
        <v>399</v>
      </c>
      <c r="I32" s="170" t="s">
        <v>400</v>
      </c>
      <c r="J32" s="180" t="s">
        <v>421</v>
      </c>
      <c r="K32" s="170" t="s">
        <v>415</v>
      </c>
      <c r="L32" s="168">
        <v>2019</v>
      </c>
      <c r="M32" s="168" t="s">
        <v>408</v>
      </c>
      <c r="N32" s="168" t="s">
        <v>403</v>
      </c>
      <c r="O32" s="136"/>
    </row>
    <row r="33" spans="1:15">
      <c r="A33" s="100">
        <v>29</v>
      </c>
      <c r="B33" s="171" t="s">
        <v>396</v>
      </c>
      <c r="C33" s="95" t="s">
        <v>420</v>
      </c>
      <c r="D33" s="95" t="s">
        <v>87</v>
      </c>
      <c r="E33" s="175">
        <v>-0.445195</v>
      </c>
      <c r="F33" s="175">
        <v>20.1857576</v>
      </c>
      <c r="G33" s="171" t="s">
        <v>398</v>
      </c>
      <c r="H33" s="171" t="s">
        <v>399</v>
      </c>
      <c r="I33" s="173" t="s">
        <v>400</v>
      </c>
      <c r="J33" s="173"/>
      <c r="K33" s="173" t="s">
        <v>401</v>
      </c>
      <c r="L33" s="171">
        <v>2016</v>
      </c>
      <c r="M33" s="173" t="s">
        <v>402</v>
      </c>
      <c r="N33" s="173" t="s">
        <v>403</v>
      </c>
      <c r="O33" s="136"/>
    </row>
    <row r="34" spans="1:15">
      <c r="A34" s="101">
        <v>30</v>
      </c>
      <c r="B34" s="168" t="s">
        <v>396</v>
      </c>
      <c r="C34" s="90" t="s">
        <v>420</v>
      </c>
      <c r="D34" s="90" t="s">
        <v>88</v>
      </c>
      <c r="E34" s="169">
        <v>-0.2194699</v>
      </c>
      <c r="F34" s="169">
        <v>20.6960548</v>
      </c>
      <c r="G34" s="168" t="s">
        <v>398</v>
      </c>
      <c r="H34" s="168" t="s">
        <v>399</v>
      </c>
      <c r="I34" s="170" t="s">
        <v>400</v>
      </c>
      <c r="J34" s="180" t="s">
        <v>422</v>
      </c>
      <c r="K34" s="170" t="s">
        <v>415</v>
      </c>
      <c r="L34" s="168">
        <v>2019</v>
      </c>
      <c r="M34" s="168" t="s">
        <v>408</v>
      </c>
      <c r="N34" s="168" t="s">
        <v>403</v>
      </c>
      <c r="O34" s="136"/>
    </row>
    <row r="35" spans="1:15">
      <c r="A35" s="100">
        <v>31</v>
      </c>
      <c r="B35" s="171" t="s">
        <v>396</v>
      </c>
      <c r="C35" s="95" t="s">
        <v>420</v>
      </c>
      <c r="D35" s="95" t="s">
        <v>89</v>
      </c>
      <c r="E35" s="171"/>
      <c r="F35" s="171"/>
      <c r="G35" s="171" t="s">
        <v>398</v>
      </c>
      <c r="H35" s="171" t="s">
        <v>399</v>
      </c>
      <c r="I35" s="171" t="s">
        <v>400</v>
      </c>
      <c r="J35" s="175"/>
      <c r="K35" s="171" t="s">
        <v>413</v>
      </c>
      <c r="L35" s="175">
        <v>2023</v>
      </c>
      <c r="M35" s="171" t="s">
        <v>402</v>
      </c>
      <c r="N35" s="171" t="s">
        <v>403</v>
      </c>
      <c r="O35" s="136"/>
    </row>
    <row r="36" spans="1:15">
      <c r="A36" s="101">
        <v>32</v>
      </c>
      <c r="B36" s="168" t="s">
        <v>396</v>
      </c>
      <c r="C36" s="90" t="s">
        <v>420</v>
      </c>
      <c r="D36" s="90" t="s">
        <v>90</v>
      </c>
      <c r="E36" s="169">
        <v>-0.4143221</v>
      </c>
      <c r="F36" s="169">
        <v>20.9249337</v>
      </c>
      <c r="G36" s="168" t="s">
        <v>398</v>
      </c>
      <c r="H36" s="168" t="s">
        <v>399</v>
      </c>
      <c r="I36" s="170" t="s">
        <v>400</v>
      </c>
      <c r="J36" s="170"/>
      <c r="K36" s="170" t="s">
        <v>401</v>
      </c>
      <c r="L36" s="168">
        <v>2016</v>
      </c>
      <c r="M36" s="170" t="s">
        <v>402</v>
      </c>
      <c r="N36" s="170" t="s">
        <v>403</v>
      </c>
      <c r="O36" s="136"/>
    </row>
    <row r="37" spans="1:15">
      <c r="A37" s="100">
        <v>33</v>
      </c>
      <c r="B37" s="171" t="s">
        <v>396</v>
      </c>
      <c r="C37" s="95" t="s">
        <v>420</v>
      </c>
      <c r="D37" s="95" t="s">
        <v>91</v>
      </c>
      <c r="E37" s="172">
        <v>0.1657664</v>
      </c>
      <c r="F37" s="172">
        <v>21.205441</v>
      </c>
      <c r="G37" s="171" t="s">
        <v>398</v>
      </c>
      <c r="H37" s="171" t="s">
        <v>399</v>
      </c>
      <c r="I37" s="173" t="s">
        <v>400</v>
      </c>
      <c r="J37" s="173"/>
      <c r="K37" s="173" t="s">
        <v>401</v>
      </c>
      <c r="L37" s="171">
        <v>2016</v>
      </c>
      <c r="M37" s="173" t="s">
        <v>402</v>
      </c>
      <c r="N37" s="173" t="s">
        <v>403</v>
      </c>
      <c r="O37" s="136"/>
    </row>
    <row r="38" spans="1:15">
      <c r="A38" s="101">
        <v>34</v>
      </c>
      <c r="B38" s="168" t="s">
        <v>396</v>
      </c>
      <c r="C38" s="90" t="s">
        <v>420</v>
      </c>
      <c r="D38" s="90" t="s">
        <v>92</v>
      </c>
      <c r="E38" s="169">
        <v>-0.2000883</v>
      </c>
      <c r="F38" s="169">
        <v>21.1295017</v>
      </c>
      <c r="G38" s="168" t="s">
        <v>398</v>
      </c>
      <c r="H38" s="168" t="s">
        <v>399</v>
      </c>
      <c r="I38" s="170" t="s">
        <v>400</v>
      </c>
      <c r="J38" s="170"/>
      <c r="K38" s="170" t="s">
        <v>401</v>
      </c>
      <c r="L38" s="168">
        <v>2016</v>
      </c>
      <c r="M38" s="170" t="s">
        <v>402</v>
      </c>
      <c r="N38" s="170" t="s">
        <v>403</v>
      </c>
      <c r="O38" s="136"/>
    </row>
    <row r="39" spans="1:15">
      <c r="A39" s="100">
        <v>35</v>
      </c>
      <c r="B39" s="171" t="s">
        <v>396</v>
      </c>
      <c r="C39" s="95" t="s">
        <v>420</v>
      </c>
      <c r="D39" s="95" t="s">
        <v>93</v>
      </c>
      <c r="E39" s="172">
        <v>0.6050433</v>
      </c>
      <c r="F39" s="172">
        <v>29.30652065</v>
      </c>
      <c r="G39" s="171" t="s">
        <v>398</v>
      </c>
      <c r="H39" s="171" t="s">
        <v>399</v>
      </c>
      <c r="I39" s="173" t="s">
        <v>400</v>
      </c>
      <c r="J39" s="173"/>
      <c r="K39" s="173" t="s">
        <v>415</v>
      </c>
      <c r="L39" s="171">
        <v>2019</v>
      </c>
      <c r="M39" s="171" t="s">
        <v>402</v>
      </c>
      <c r="N39" s="171" t="s">
        <v>403</v>
      </c>
      <c r="O39" s="136"/>
    </row>
    <row r="40" spans="1:15">
      <c r="A40" s="101">
        <v>36</v>
      </c>
      <c r="B40" s="168" t="s">
        <v>396</v>
      </c>
      <c r="C40" s="90" t="s">
        <v>420</v>
      </c>
      <c r="D40" s="90" t="s">
        <v>94</v>
      </c>
      <c r="E40" s="169">
        <v>-0.1418783</v>
      </c>
      <c r="F40" s="169">
        <v>21.0300133</v>
      </c>
      <c r="G40" s="168" t="s">
        <v>398</v>
      </c>
      <c r="H40" s="168" t="s">
        <v>399</v>
      </c>
      <c r="I40" s="170" t="s">
        <v>400</v>
      </c>
      <c r="J40" s="170"/>
      <c r="K40" s="170" t="s">
        <v>415</v>
      </c>
      <c r="L40" s="168">
        <v>2019</v>
      </c>
      <c r="M40" s="168" t="s">
        <v>402</v>
      </c>
      <c r="N40" s="168" t="s">
        <v>403</v>
      </c>
      <c r="O40" s="136"/>
    </row>
    <row r="41" spans="1:15">
      <c r="A41" s="100">
        <v>37</v>
      </c>
      <c r="B41" s="171" t="s">
        <v>396</v>
      </c>
      <c r="C41" s="95" t="s">
        <v>420</v>
      </c>
      <c r="D41" s="95" t="s">
        <v>95</v>
      </c>
      <c r="E41" s="172">
        <v>-0.4085073</v>
      </c>
      <c r="F41" s="172">
        <v>21.3087038</v>
      </c>
      <c r="G41" s="171" t="s">
        <v>398</v>
      </c>
      <c r="H41" s="171" t="s">
        <v>399</v>
      </c>
      <c r="I41" s="173" t="s">
        <v>400</v>
      </c>
      <c r="J41" s="173"/>
      <c r="K41" s="173" t="s">
        <v>401</v>
      </c>
      <c r="L41" s="171">
        <v>2016</v>
      </c>
      <c r="M41" s="173" t="s">
        <v>402</v>
      </c>
      <c r="N41" s="173" t="s">
        <v>403</v>
      </c>
      <c r="O41" s="136"/>
    </row>
    <row r="42" spans="1:15">
      <c r="A42" s="101">
        <v>38</v>
      </c>
      <c r="B42" s="168" t="s">
        <v>396</v>
      </c>
      <c r="C42" s="90" t="s">
        <v>420</v>
      </c>
      <c r="D42" s="90" t="s">
        <v>96</v>
      </c>
      <c r="E42" s="169">
        <v>-0.3893628</v>
      </c>
      <c r="F42" s="169">
        <v>21.0156209</v>
      </c>
      <c r="G42" s="168" t="s">
        <v>398</v>
      </c>
      <c r="H42" s="168" t="s">
        <v>399</v>
      </c>
      <c r="I42" s="170" t="s">
        <v>400</v>
      </c>
      <c r="J42" s="180" t="s">
        <v>423</v>
      </c>
      <c r="K42" s="170" t="s">
        <v>415</v>
      </c>
      <c r="L42" s="168">
        <v>2019</v>
      </c>
      <c r="M42" s="168" t="s">
        <v>408</v>
      </c>
      <c r="N42" s="168" t="s">
        <v>403</v>
      </c>
      <c r="O42" s="136"/>
    </row>
    <row r="43" spans="1:15">
      <c r="A43" s="100">
        <v>39</v>
      </c>
      <c r="B43" s="171" t="s">
        <v>396</v>
      </c>
      <c r="C43" s="95" t="s">
        <v>420</v>
      </c>
      <c r="D43" s="95" t="s">
        <v>97</v>
      </c>
      <c r="E43" s="172">
        <v>-0.5998352</v>
      </c>
      <c r="F43" s="172">
        <v>21.1665996</v>
      </c>
      <c r="G43" s="171" t="s">
        <v>398</v>
      </c>
      <c r="H43" s="171" t="s">
        <v>399</v>
      </c>
      <c r="I43" s="173" t="s">
        <v>400</v>
      </c>
      <c r="J43" s="173"/>
      <c r="K43" s="173" t="s">
        <v>401</v>
      </c>
      <c r="L43" s="171">
        <v>2016</v>
      </c>
      <c r="M43" s="173" t="s">
        <v>402</v>
      </c>
      <c r="N43" s="173" t="s">
        <v>403</v>
      </c>
      <c r="O43" s="136"/>
    </row>
    <row r="44" spans="1:15">
      <c r="A44" s="101">
        <v>40</v>
      </c>
      <c r="B44" s="168" t="s">
        <v>396</v>
      </c>
      <c r="C44" s="90" t="s">
        <v>420</v>
      </c>
      <c r="D44" s="90" t="s">
        <v>98</v>
      </c>
      <c r="E44" s="169">
        <v>-0.6593588</v>
      </c>
      <c r="F44" s="169">
        <v>20.6069826</v>
      </c>
      <c r="G44" s="168" t="s">
        <v>398</v>
      </c>
      <c r="H44" s="168"/>
      <c r="I44" s="168"/>
      <c r="J44" s="168"/>
      <c r="K44" s="168"/>
      <c r="L44" s="168"/>
      <c r="M44" s="168" t="s">
        <v>402</v>
      </c>
      <c r="N44" s="168" t="s">
        <v>403</v>
      </c>
      <c r="O44" s="136"/>
    </row>
    <row r="45" spans="1:15">
      <c r="A45" s="100">
        <v>41</v>
      </c>
      <c r="B45" s="171" t="s">
        <v>396</v>
      </c>
      <c r="C45" s="95" t="s">
        <v>420</v>
      </c>
      <c r="D45" s="95" t="s">
        <v>99</v>
      </c>
      <c r="E45" s="172">
        <v>-0.5107421</v>
      </c>
      <c r="F45" s="172">
        <v>20.709463</v>
      </c>
      <c r="G45" s="171" t="s">
        <v>398</v>
      </c>
      <c r="H45" s="171" t="s">
        <v>399</v>
      </c>
      <c r="I45" s="173" t="s">
        <v>400</v>
      </c>
      <c r="J45" s="175" t="s">
        <v>424</v>
      </c>
      <c r="K45" s="173" t="s">
        <v>404</v>
      </c>
      <c r="L45" s="174">
        <v>43337</v>
      </c>
      <c r="M45" s="171" t="s">
        <v>408</v>
      </c>
      <c r="N45" s="171" t="s">
        <v>403</v>
      </c>
      <c r="O45" s="136"/>
    </row>
    <row r="46" spans="1:15">
      <c r="A46" s="101">
        <v>42</v>
      </c>
      <c r="B46" s="168" t="s">
        <v>396</v>
      </c>
      <c r="C46" s="90" t="s">
        <v>420</v>
      </c>
      <c r="D46" s="90" t="s">
        <v>100</v>
      </c>
      <c r="E46" s="169">
        <v>-0.2891451</v>
      </c>
      <c r="F46" s="169">
        <v>20.875785</v>
      </c>
      <c r="G46" s="168" t="s">
        <v>398</v>
      </c>
      <c r="H46" s="168" t="s">
        <v>399</v>
      </c>
      <c r="I46" s="168" t="s">
        <v>400</v>
      </c>
      <c r="J46" s="180"/>
      <c r="K46" s="168" t="s">
        <v>413</v>
      </c>
      <c r="L46" s="180">
        <v>2023</v>
      </c>
      <c r="M46" s="168" t="s">
        <v>402</v>
      </c>
      <c r="N46" s="168" t="s">
        <v>403</v>
      </c>
      <c r="O46" s="136"/>
    </row>
    <row r="47" spans="1:15">
      <c r="A47" s="100">
        <v>43</v>
      </c>
      <c r="B47" s="171" t="s">
        <v>396</v>
      </c>
      <c r="C47" s="95" t="s">
        <v>420</v>
      </c>
      <c r="D47" s="95" t="s">
        <v>101</v>
      </c>
      <c r="E47" s="172">
        <v>-0.5977117</v>
      </c>
      <c r="F47" s="172">
        <v>20.4901833</v>
      </c>
      <c r="G47" s="171" t="s">
        <v>398</v>
      </c>
      <c r="H47" s="171" t="s">
        <v>399</v>
      </c>
      <c r="I47" s="173" t="s">
        <v>400</v>
      </c>
      <c r="J47" s="173"/>
      <c r="K47" s="173" t="s">
        <v>404</v>
      </c>
      <c r="L47" s="174">
        <v>43342</v>
      </c>
      <c r="M47" s="171" t="s">
        <v>402</v>
      </c>
      <c r="N47" s="171" t="s">
        <v>403</v>
      </c>
      <c r="O47" s="136"/>
    </row>
    <row r="48" spans="1:15">
      <c r="A48" s="101">
        <v>44</v>
      </c>
      <c r="B48" s="168" t="s">
        <v>396</v>
      </c>
      <c r="C48" s="90" t="s">
        <v>420</v>
      </c>
      <c r="D48" s="90" t="s">
        <v>102</v>
      </c>
      <c r="E48" s="169">
        <v>-0.2782459</v>
      </c>
      <c r="F48" s="169">
        <v>20.8755969</v>
      </c>
      <c r="G48" s="168" t="s">
        <v>398</v>
      </c>
      <c r="H48" s="168" t="s">
        <v>399</v>
      </c>
      <c r="I48" s="170" t="s">
        <v>400</v>
      </c>
      <c r="J48" s="170"/>
      <c r="K48" s="170" t="s">
        <v>404</v>
      </c>
      <c r="L48" s="176">
        <v>43327</v>
      </c>
      <c r="M48" s="168" t="s">
        <v>402</v>
      </c>
      <c r="N48" s="168" t="s">
        <v>403</v>
      </c>
      <c r="O48" s="136"/>
    </row>
    <row r="49" spans="1:15">
      <c r="A49" s="100">
        <v>45</v>
      </c>
      <c r="B49" s="171" t="s">
        <v>396</v>
      </c>
      <c r="C49" s="95" t="s">
        <v>420</v>
      </c>
      <c r="D49" s="95" t="s">
        <v>103</v>
      </c>
      <c r="E49" s="172">
        <v>0.0304436</v>
      </c>
      <c r="F49" s="172">
        <v>21.2059252</v>
      </c>
      <c r="G49" s="171" t="s">
        <v>398</v>
      </c>
      <c r="H49" s="171" t="s">
        <v>399</v>
      </c>
      <c r="I49" s="173" t="s">
        <v>400</v>
      </c>
      <c r="J49" s="173"/>
      <c r="K49" s="173" t="s">
        <v>401</v>
      </c>
      <c r="L49" s="171">
        <v>2016</v>
      </c>
      <c r="M49" s="173" t="s">
        <v>402</v>
      </c>
      <c r="N49" s="173" t="s">
        <v>403</v>
      </c>
      <c r="O49" s="136"/>
    </row>
    <row r="50" spans="1:15">
      <c r="A50" s="101">
        <v>46</v>
      </c>
      <c r="B50" s="168" t="s">
        <v>396</v>
      </c>
      <c r="C50" s="90" t="s">
        <v>420</v>
      </c>
      <c r="D50" s="90" t="s">
        <v>104</v>
      </c>
      <c r="E50" s="169">
        <v>-0.141913</v>
      </c>
      <c r="F50" s="169">
        <v>21.0298026</v>
      </c>
      <c r="G50" s="168" t="s">
        <v>398</v>
      </c>
      <c r="H50" s="168" t="s">
        <v>399</v>
      </c>
      <c r="I50" s="170" t="s">
        <v>400</v>
      </c>
      <c r="J50" s="170"/>
      <c r="K50" s="170" t="s">
        <v>401</v>
      </c>
      <c r="L50" s="168">
        <v>2016</v>
      </c>
      <c r="M50" s="170" t="s">
        <v>402</v>
      </c>
      <c r="N50" s="170" t="s">
        <v>403</v>
      </c>
      <c r="O50" s="136"/>
    </row>
    <row r="51" spans="1:15">
      <c r="A51" s="100">
        <v>47</v>
      </c>
      <c r="B51" s="171" t="s">
        <v>396</v>
      </c>
      <c r="C51" s="95" t="s">
        <v>420</v>
      </c>
      <c r="D51" s="95" t="s">
        <v>106</v>
      </c>
      <c r="E51" s="172">
        <v>-0.9064228</v>
      </c>
      <c r="F51" s="172">
        <v>20.625845</v>
      </c>
      <c r="G51" s="171" t="s">
        <v>398</v>
      </c>
      <c r="H51" s="171" t="s">
        <v>399</v>
      </c>
      <c r="I51" s="173" t="s">
        <v>400</v>
      </c>
      <c r="J51" s="173"/>
      <c r="K51" s="173" t="s">
        <v>401</v>
      </c>
      <c r="L51" s="171">
        <v>2016</v>
      </c>
      <c r="M51" s="173" t="s">
        <v>402</v>
      </c>
      <c r="N51" s="173" t="s">
        <v>403</v>
      </c>
      <c r="O51" s="136"/>
    </row>
    <row r="52" spans="1:15">
      <c r="A52" s="101">
        <v>48</v>
      </c>
      <c r="B52" s="168" t="s">
        <v>396</v>
      </c>
      <c r="C52" s="90" t="s">
        <v>420</v>
      </c>
      <c r="D52" s="90" t="s">
        <v>107</v>
      </c>
      <c r="E52" s="169">
        <v>-0.3973683</v>
      </c>
      <c r="F52" s="169">
        <v>21.2148828</v>
      </c>
      <c r="G52" s="168" t="s">
        <v>398</v>
      </c>
      <c r="H52" s="168" t="s">
        <v>399</v>
      </c>
      <c r="I52" s="170" t="s">
        <v>400</v>
      </c>
      <c r="J52" s="170"/>
      <c r="K52" s="170" t="s">
        <v>401</v>
      </c>
      <c r="L52" s="168">
        <v>2016</v>
      </c>
      <c r="M52" s="170" t="s">
        <v>408</v>
      </c>
      <c r="N52" s="170" t="s">
        <v>403</v>
      </c>
      <c r="O52" s="136"/>
    </row>
    <row r="53" spans="1:15">
      <c r="A53" s="100">
        <v>49</v>
      </c>
      <c r="B53" s="171" t="s">
        <v>396</v>
      </c>
      <c r="C53" s="95" t="s">
        <v>420</v>
      </c>
      <c r="D53" s="95" t="s">
        <v>108</v>
      </c>
      <c r="E53" s="172">
        <v>-0.33256107</v>
      </c>
      <c r="F53" s="172">
        <v>21.06053654</v>
      </c>
      <c r="G53" s="171" t="s">
        <v>398</v>
      </c>
      <c r="H53" s="171" t="s">
        <v>399</v>
      </c>
      <c r="I53" s="171" t="s">
        <v>400</v>
      </c>
      <c r="J53" s="171"/>
      <c r="K53" s="171"/>
      <c r="L53" s="171"/>
      <c r="M53" s="171" t="s">
        <v>408</v>
      </c>
      <c r="N53" s="171" t="s">
        <v>403</v>
      </c>
      <c r="O53" s="136"/>
    </row>
    <row r="54" spans="1:15">
      <c r="A54" s="101"/>
      <c r="B54" s="91"/>
      <c r="C54" s="90"/>
      <c r="D54" s="90"/>
      <c r="E54" s="91"/>
      <c r="F54" s="91"/>
      <c r="G54" s="91"/>
      <c r="H54" s="91"/>
      <c r="I54" s="91"/>
      <c r="J54" s="91"/>
      <c r="K54" s="91"/>
      <c r="L54" s="91"/>
      <c r="M54" s="91"/>
      <c r="N54" s="91"/>
      <c r="O54" s="136"/>
    </row>
    <row r="55" spans="1:15">
      <c r="A55" s="100">
        <v>50</v>
      </c>
      <c r="B55" s="171" t="s">
        <v>396</v>
      </c>
      <c r="C55" s="95" t="s">
        <v>425</v>
      </c>
      <c r="D55" s="95" t="s">
        <v>111</v>
      </c>
      <c r="E55" s="172">
        <v>-0.4226691</v>
      </c>
      <c r="F55" s="172">
        <v>22.0721999</v>
      </c>
      <c r="G55" s="171" t="s">
        <v>398</v>
      </c>
      <c r="H55" s="171" t="s">
        <v>399</v>
      </c>
      <c r="I55" s="173" t="s">
        <v>400</v>
      </c>
      <c r="J55" s="175" t="s">
        <v>426</v>
      </c>
      <c r="K55" s="173" t="s">
        <v>415</v>
      </c>
      <c r="L55" s="171">
        <v>2019</v>
      </c>
      <c r="M55" s="171" t="s">
        <v>408</v>
      </c>
      <c r="N55" s="171" t="s">
        <v>403</v>
      </c>
      <c r="O55" s="136"/>
    </row>
    <row r="56" spans="1:15">
      <c r="A56" s="101">
        <v>51</v>
      </c>
      <c r="B56" s="168" t="s">
        <v>396</v>
      </c>
      <c r="C56" s="90" t="s">
        <v>425</v>
      </c>
      <c r="D56" s="90" t="s">
        <v>112</v>
      </c>
      <c r="E56" s="169">
        <v>0.0610033</v>
      </c>
      <c r="F56" s="169">
        <v>21.8162972</v>
      </c>
      <c r="G56" s="168" t="s">
        <v>398</v>
      </c>
      <c r="H56" s="168" t="s">
        <v>399</v>
      </c>
      <c r="I56" s="170" t="s">
        <v>400</v>
      </c>
      <c r="J56" s="170"/>
      <c r="K56" s="170" t="s">
        <v>415</v>
      </c>
      <c r="L56" s="168">
        <v>2019</v>
      </c>
      <c r="M56" s="168" t="s">
        <v>402</v>
      </c>
      <c r="N56" s="168" t="s">
        <v>403</v>
      </c>
      <c r="O56" s="136"/>
    </row>
    <row r="57" spans="1:15">
      <c r="A57" s="100">
        <v>52</v>
      </c>
      <c r="B57" s="171" t="s">
        <v>396</v>
      </c>
      <c r="C57" s="95" t="s">
        <v>425</v>
      </c>
      <c r="D57" s="95" t="s">
        <v>114</v>
      </c>
      <c r="E57" s="172">
        <v>-0.603548</v>
      </c>
      <c r="F57" s="172">
        <v>22.3168526</v>
      </c>
      <c r="G57" s="171" t="s">
        <v>398</v>
      </c>
      <c r="H57" s="171" t="s">
        <v>399</v>
      </c>
      <c r="I57" s="173" t="s">
        <v>400</v>
      </c>
      <c r="J57" s="173"/>
      <c r="K57" s="173" t="s">
        <v>415</v>
      </c>
      <c r="L57" s="171">
        <v>2019</v>
      </c>
      <c r="M57" s="171" t="s">
        <v>402</v>
      </c>
      <c r="N57" s="171" t="s">
        <v>403</v>
      </c>
      <c r="O57" s="136"/>
    </row>
    <row r="58" spans="1:15">
      <c r="A58" s="101">
        <v>53</v>
      </c>
      <c r="B58" s="168" t="s">
        <v>396</v>
      </c>
      <c r="C58" s="90" t="s">
        <v>425</v>
      </c>
      <c r="D58" s="90" t="s">
        <v>116</v>
      </c>
      <c r="E58" s="169">
        <v>-0.4690294</v>
      </c>
      <c r="F58" s="169">
        <v>22.2726967</v>
      </c>
      <c r="G58" s="168" t="s">
        <v>398</v>
      </c>
      <c r="H58" s="168" t="s">
        <v>399</v>
      </c>
      <c r="I58" s="170" t="s">
        <v>400</v>
      </c>
      <c r="J58" s="170"/>
      <c r="K58" s="170" t="s">
        <v>415</v>
      </c>
      <c r="L58" s="168">
        <v>2019</v>
      </c>
      <c r="M58" s="168" t="s">
        <v>402</v>
      </c>
      <c r="N58" s="168" t="s">
        <v>403</v>
      </c>
      <c r="O58" s="136"/>
    </row>
    <row r="59" spans="1:15">
      <c r="A59" s="100">
        <v>54</v>
      </c>
      <c r="B59" s="171" t="s">
        <v>396</v>
      </c>
      <c r="C59" s="95" t="s">
        <v>425</v>
      </c>
      <c r="D59" s="95" t="s">
        <v>118</v>
      </c>
      <c r="E59" s="172">
        <v>-0.3132233</v>
      </c>
      <c r="F59" s="172">
        <v>21.8340167</v>
      </c>
      <c r="G59" s="171" t="s">
        <v>398</v>
      </c>
      <c r="H59" s="171" t="s">
        <v>399</v>
      </c>
      <c r="I59" s="173" t="s">
        <v>400</v>
      </c>
      <c r="J59" s="173"/>
      <c r="K59" s="173" t="s">
        <v>415</v>
      </c>
      <c r="L59" s="171">
        <v>2019</v>
      </c>
      <c r="M59" s="171" t="s">
        <v>402</v>
      </c>
      <c r="N59" s="171" t="s">
        <v>403</v>
      </c>
      <c r="O59" s="136"/>
    </row>
    <row r="60" spans="1:15">
      <c r="A60" s="101">
        <v>55</v>
      </c>
      <c r="B60" s="168" t="s">
        <v>396</v>
      </c>
      <c r="C60" s="90" t="s">
        <v>425</v>
      </c>
      <c r="D60" s="90" t="s">
        <v>119</v>
      </c>
      <c r="E60" s="169">
        <v>-0.7345267</v>
      </c>
      <c r="F60" s="169">
        <v>22.6127683</v>
      </c>
      <c r="G60" s="168" t="s">
        <v>398</v>
      </c>
      <c r="H60" s="168" t="s">
        <v>399</v>
      </c>
      <c r="I60" s="168" t="s">
        <v>400</v>
      </c>
      <c r="J60" s="180"/>
      <c r="K60" s="168" t="s">
        <v>413</v>
      </c>
      <c r="L60" s="180">
        <v>2023</v>
      </c>
      <c r="M60" s="168" t="s">
        <v>402</v>
      </c>
      <c r="N60" s="168" t="s">
        <v>403</v>
      </c>
      <c r="O60" s="136"/>
    </row>
    <row r="61" spans="1:15">
      <c r="A61" s="100">
        <v>56</v>
      </c>
      <c r="B61" s="171" t="s">
        <v>396</v>
      </c>
      <c r="C61" s="95" t="s">
        <v>425</v>
      </c>
      <c r="D61" s="95" t="s">
        <v>120</v>
      </c>
      <c r="E61" s="175">
        <v>-0.1510679</v>
      </c>
      <c r="F61" s="175">
        <v>21.6567715</v>
      </c>
      <c r="G61" s="171" t="s">
        <v>398</v>
      </c>
      <c r="H61" s="171" t="s">
        <v>399</v>
      </c>
      <c r="I61" s="171" t="s">
        <v>427</v>
      </c>
      <c r="J61" s="171"/>
      <c r="K61" s="171"/>
      <c r="L61" s="171"/>
      <c r="M61" s="171" t="s">
        <v>408</v>
      </c>
      <c r="N61" s="171" t="s">
        <v>403</v>
      </c>
      <c r="O61" s="136"/>
    </row>
    <row r="62" spans="1:15">
      <c r="A62" s="101">
        <v>57</v>
      </c>
      <c r="B62" s="168" t="s">
        <v>396</v>
      </c>
      <c r="C62" s="90" t="s">
        <v>425</v>
      </c>
      <c r="D62" s="90" t="s">
        <v>122</v>
      </c>
      <c r="E62" s="180">
        <v>-0.3047787</v>
      </c>
      <c r="F62" s="180">
        <v>21.5219403</v>
      </c>
      <c r="G62" s="168" t="s">
        <v>398</v>
      </c>
      <c r="H62" s="168" t="s">
        <v>399</v>
      </c>
      <c r="I62" s="170" t="s">
        <v>400</v>
      </c>
      <c r="J62" s="170"/>
      <c r="K62" s="170" t="s">
        <v>415</v>
      </c>
      <c r="L62" s="168">
        <v>2019</v>
      </c>
      <c r="M62" s="168" t="s">
        <v>402</v>
      </c>
      <c r="N62" s="168" t="s">
        <v>403</v>
      </c>
      <c r="O62" s="136"/>
    </row>
    <row r="63" spans="1:15">
      <c r="A63" s="100">
        <v>58</v>
      </c>
      <c r="B63" s="171" t="s">
        <v>396</v>
      </c>
      <c r="C63" s="95" t="s">
        <v>425</v>
      </c>
      <c r="D63" s="95" t="s">
        <v>123</v>
      </c>
      <c r="E63" s="172">
        <v>-0.580075</v>
      </c>
      <c r="F63" s="172">
        <v>22.2086367</v>
      </c>
      <c r="G63" s="171" t="s">
        <v>398</v>
      </c>
      <c r="H63" s="171" t="s">
        <v>399</v>
      </c>
      <c r="I63" s="173" t="s">
        <v>400</v>
      </c>
      <c r="J63" s="173"/>
      <c r="K63" s="173" t="s">
        <v>404</v>
      </c>
      <c r="L63" s="174">
        <v>43344</v>
      </c>
      <c r="M63" s="171" t="s">
        <v>402</v>
      </c>
      <c r="N63" s="171" t="s">
        <v>403</v>
      </c>
      <c r="O63" s="136"/>
    </row>
    <row r="64" spans="1:15">
      <c r="A64" s="101">
        <v>59</v>
      </c>
      <c r="B64" s="168" t="s">
        <v>396</v>
      </c>
      <c r="C64" s="90" t="s">
        <v>425</v>
      </c>
      <c r="D64" s="90" t="s">
        <v>124</v>
      </c>
      <c r="E64" s="169">
        <v>-0.6042296</v>
      </c>
      <c r="F64" s="169">
        <v>22.3164391</v>
      </c>
      <c r="G64" s="168" t="s">
        <v>398</v>
      </c>
      <c r="H64" s="168" t="s">
        <v>399</v>
      </c>
      <c r="I64" s="170" t="s">
        <v>400</v>
      </c>
      <c r="J64" s="170"/>
      <c r="K64" s="170" t="s">
        <v>404</v>
      </c>
      <c r="L64" s="176">
        <v>43343</v>
      </c>
      <c r="M64" s="168" t="s">
        <v>402</v>
      </c>
      <c r="N64" s="168" t="s">
        <v>403</v>
      </c>
      <c r="O64" s="136"/>
    </row>
    <row r="65" spans="1:15">
      <c r="A65" s="100">
        <v>60</v>
      </c>
      <c r="B65" s="171" t="s">
        <v>396</v>
      </c>
      <c r="C65" s="95" t="s">
        <v>425</v>
      </c>
      <c r="D65" s="95" t="s">
        <v>125</v>
      </c>
      <c r="E65" s="172">
        <v>-0.2016799</v>
      </c>
      <c r="F65" s="172">
        <v>21.7900323</v>
      </c>
      <c r="G65" s="171" t="s">
        <v>398</v>
      </c>
      <c r="H65" s="171" t="s">
        <v>399</v>
      </c>
      <c r="I65" s="171" t="s">
        <v>400</v>
      </c>
      <c r="J65" s="175"/>
      <c r="K65" s="171" t="s">
        <v>413</v>
      </c>
      <c r="L65" s="175">
        <v>2023</v>
      </c>
      <c r="M65" s="171" t="s">
        <v>402</v>
      </c>
      <c r="N65" s="171" t="s">
        <v>403</v>
      </c>
      <c r="O65" s="136"/>
    </row>
    <row r="66" spans="1:15">
      <c r="A66" s="101">
        <v>61</v>
      </c>
      <c r="B66" s="168" t="s">
        <v>396</v>
      </c>
      <c r="C66" s="90" t="s">
        <v>425</v>
      </c>
      <c r="D66" s="90" t="s">
        <v>126</v>
      </c>
      <c r="E66" s="169">
        <v>-0.0943717</v>
      </c>
      <c r="F66" s="169">
        <v>22.33639</v>
      </c>
      <c r="G66" s="168" t="s">
        <v>398</v>
      </c>
      <c r="H66" s="168" t="s">
        <v>399</v>
      </c>
      <c r="I66" s="170" t="s">
        <v>400</v>
      </c>
      <c r="J66" s="170"/>
      <c r="K66" s="170" t="s">
        <v>415</v>
      </c>
      <c r="L66" s="168">
        <v>2019</v>
      </c>
      <c r="M66" s="168" t="s">
        <v>402</v>
      </c>
      <c r="N66" s="168" t="s">
        <v>403</v>
      </c>
      <c r="O66" s="136"/>
    </row>
    <row r="67" spans="1:15">
      <c r="A67" s="100">
        <v>62</v>
      </c>
      <c r="B67" s="171" t="s">
        <v>396</v>
      </c>
      <c r="C67" s="95" t="s">
        <v>425</v>
      </c>
      <c r="D67" s="95" t="s">
        <v>127</v>
      </c>
      <c r="E67" s="172">
        <v>-0.6328336</v>
      </c>
      <c r="F67" s="172">
        <v>22.4444229</v>
      </c>
      <c r="G67" s="171" t="s">
        <v>398</v>
      </c>
      <c r="H67" s="171" t="s">
        <v>399</v>
      </c>
      <c r="I67" s="173" t="s">
        <v>400</v>
      </c>
      <c r="J67" s="173"/>
      <c r="K67" s="173" t="s">
        <v>415</v>
      </c>
      <c r="L67" s="171">
        <v>2019</v>
      </c>
      <c r="M67" s="171" t="s">
        <v>402</v>
      </c>
      <c r="N67" s="171" t="s">
        <v>403</v>
      </c>
      <c r="O67" s="136"/>
    </row>
    <row r="68" spans="1:15">
      <c r="A68" s="101">
        <v>63</v>
      </c>
      <c r="B68" s="168" t="s">
        <v>396</v>
      </c>
      <c r="C68" s="90" t="s">
        <v>425</v>
      </c>
      <c r="D68" s="90" t="s">
        <v>128</v>
      </c>
      <c r="E68" s="169">
        <v>-0.53471</v>
      </c>
      <c r="F68" s="169">
        <v>22.1355667</v>
      </c>
      <c r="G68" s="168" t="s">
        <v>398</v>
      </c>
      <c r="H68" s="168" t="s">
        <v>399</v>
      </c>
      <c r="I68" s="170" t="s">
        <v>400</v>
      </c>
      <c r="J68" s="170"/>
      <c r="K68" s="170" t="s">
        <v>415</v>
      </c>
      <c r="L68" s="168">
        <v>2019</v>
      </c>
      <c r="M68" s="168" t="s">
        <v>402</v>
      </c>
      <c r="N68" s="168" t="s">
        <v>403</v>
      </c>
      <c r="O68" s="136"/>
    </row>
    <row r="69" spans="1:15">
      <c r="A69" s="100">
        <v>64</v>
      </c>
      <c r="B69" s="171" t="s">
        <v>396</v>
      </c>
      <c r="C69" s="95" t="s">
        <v>425</v>
      </c>
      <c r="D69" s="95" t="s">
        <v>130</v>
      </c>
      <c r="E69" s="172">
        <v>-0.3160768</v>
      </c>
      <c r="F69" s="172">
        <v>21.7539263</v>
      </c>
      <c r="G69" s="171" t="s">
        <v>398</v>
      </c>
      <c r="H69" s="171" t="s">
        <v>399</v>
      </c>
      <c r="I69" s="173" t="s">
        <v>400</v>
      </c>
      <c r="J69" s="173"/>
      <c r="K69" s="173" t="s">
        <v>415</v>
      </c>
      <c r="L69" s="171">
        <v>2019</v>
      </c>
      <c r="M69" s="171" t="s">
        <v>402</v>
      </c>
      <c r="N69" s="171" t="s">
        <v>403</v>
      </c>
      <c r="O69" s="136"/>
    </row>
    <row r="70" spans="1:15">
      <c r="A70" s="101">
        <v>65</v>
      </c>
      <c r="B70" s="168" t="s">
        <v>396</v>
      </c>
      <c r="C70" s="90" t="s">
        <v>425</v>
      </c>
      <c r="D70" s="90" t="s">
        <v>135</v>
      </c>
      <c r="E70" s="180">
        <v>0.0779465</v>
      </c>
      <c r="F70" s="180">
        <v>22.3294825</v>
      </c>
      <c r="G70" s="168" t="s">
        <v>398</v>
      </c>
      <c r="H70" s="168" t="s">
        <v>399</v>
      </c>
      <c r="I70" s="170" t="s">
        <v>400</v>
      </c>
      <c r="J70" s="170"/>
      <c r="K70" s="170" t="s">
        <v>415</v>
      </c>
      <c r="L70" s="168">
        <v>2019</v>
      </c>
      <c r="M70" s="168" t="s">
        <v>402</v>
      </c>
      <c r="N70" s="168" t="s">
        <v>403</v>
      </c>
      <c r="O70" s="136"/>
    </row>
    <row r="71" spans="1:15">
      <c r="A71" s="100"/>
      <c r="B71" s="96"/>
      <c r="C71" s="95"/>
      <c r="D71" s="95"/>
      <c r="E71" s="96"/>
      <c r="F71" s="96"/>
      <c r="G71" s="96"/>
      <c r="H71" s="96"/>
      <c r="I71" s="96"/>
      <c r="J71" s="96"/>
      <c r="K71" s="96"/>
      <c r="L71" s="96"/>
      <c r="M71" s="96"/>
      <c r="N71" s="96"/>
      <c r="O71" s="136"/>
    </row>
    <row r="72" spans="1:15">
      <c r="A72" s="101">
        <v>66</v>
      </c>
      <c r="B72" s="168" t="s">
        <v>396</v>
      </c>
      <c r="C72" s="90" t="s">
        <v>428</v>
      </c>
      <c r="D72" s="90" t="s">
        <v>143</v>
      </c>
      <c r="E72" s="169">
        <v>1.4092109</v>
      </c>
      <c r="F72" s="169">
        <v>28.073676</v>
      </c>
      <c r="G72" s="168" t="s">
        <v>398</v>
      </c>
      <c r="H72" s="168" t="s">
        <v>399</v>
      </c>
      <c r="I72" s="170" t="s">
        <v>400</v>
      </c>
      <c r="J72" s="170"/>
      <c r="K72" s="168" t="s">
        <v>401</v>
      </c>
      <c r="L72" s="168">
        <v>2016</v>
      </c>
      <c r="M72" s="168" t="s">
        <v>402</v>
      </c>
      <c r="N72" s="168" t="s">
        <v>403</v>
      </c>
      <c r="O72" s="136"/>
    </row>
    <row r="73" spans="1:15">
      <c r="A73" s="100">
        <v>67</v>
      </c>
      <c r="B73" s="171" t="s">
        <v>396</v>
      </c>
      <c r="C73" s="95" t="s">
        <v>428</v>
      </c>
      <c r="D73" s="95" t="s">
        <v>146</v>
      </c>
      <c r="E73" s="172">
        <v>-0.777833</v>
      </c>
      <c r="F73" s="172">
        <v>22.014685</v>
      </c>
      <c r="G73" s="171" t="s">
        <v>398</v>
      </c>
      <c r="H73" s="171" t="s">
        <v>399</v>
      </c>
      <c r="I73" s="173" t="s">
        <v>400</v>
      </c>
      <c r="J73" s="173"/>
      <c r="K73" s="171" t="s">
        <v>401</v>
      </c>
      <c r="L73" s="171">
        <v>2016</v>
      </c>
      <c r="M73" s="171" t="s">
        <v>408</v>
      </c>
      <c r="N73" s="171" t="s">
        <v>403</v>
      </c>
      <c r="O73" s="181"/>
    </row>
    <row r="74" spans="1:15">
      <c r="A74" s="101">
        <v>68</v>
      </c>
      <c r="B74" s="168" t="s">
        <v>396</v>
      </c>
      <c r="C74" s="90" t="s">
        <v>428</v>
      </c>
      <c r="D74" s="90" t="s">
        <v>147</v>
      </c>
      <c r="E74" s="169">
        <v>1.40673742727272</v>
      </c>
      <c r="F74" s="169">
        <v>27.6079653181818</v>
      </c>
      <c r="G74" s="168" t="s">
        <v>398</v>
      </c>
      <c r="H74" s="168" t="s">
        <v>399</v>
      </c>
      <c r="I74" s="170" t="s">
        <v>400</v>
      </c>
      <c r="J74" s="170"/>
      <c r="K74" s="168" t="s">
        <v>401</v>
      </c>
      <c r="L74" s="168">
        <v>2016</v>
      </c>
      <c r="M74" s="168" t="s">
        <v>402</v>
      </c>
      <c r="N74" s="168" t="s">
        <v>403</v>
      </c>
      <c r="O74" s="181"/>
    </row>
    <row r="75" spans="1:15">
      <c r="A75" s="100">
        <v>69</v>
      </c>
      <c r="B75" s="171" t="s">
        <v>396</v>
      </c>
      <c r="C75" s="95" t="s">
        <v>428</v>
      </c>
      <c r="D75" s="95" t="s">
        <v>149</v>
      </c>
      <c r="E75" s="172">
        <v>-0.6424385</v>
      </c>
      <c r="F75" s="172">
        <v>22.1100248</v>
      </c>
      <c r="G75" s="171" t="s">
        <v>398</v>
      </c>
      <c r="H75" s="171" t="s">
        <v>399</v>
      </c>
      <c r="I75" s="173" t="s">
        <v>400</v>
      </c>
      <c r="J75" s="173"/>
      <c r="K75" s="171" t="s">
        <v>401</v>
      </c>
      <c r="L75" s="171">
        <v>2016</v>
      </c>
      <c r="M75" s="171" t="s">
        <v>402</v>
      </c>
      <c r="N75" s="171" t="s">
        <v>403</v>
      </c>
      <c r="O75" s="181"/>
    </row>
    <row r="76" spans="1:15">
      <c r="A76" s="101">
        <v>70</v>
      </c>
      <c r="B76" s="168" t="s">
        <v>396</v>
      </c>
      <c r="C76" s="90" t="s">
        <v>428</v>
      </c>
      <c r="D76" s="90" t="s">
        <v>150</v>
      </c>
      <c r="E76" s="169">
        <v>-0.8457726</v>
      </c>
      <c r="F76" s="169">
        <v>21.8419479</v>
      </c>
      <c r="G76" s="168" t="s">
        <v>398</v>
      </c>
      <c r="H76" s="168" t="s">
        <v>399</v>
      </c>
      <c r="I76" s="170" t="s">
        <v>400</v>
      </c>
      <c r="J76" s="170"/>
      <c r="K76" s="170" t="s">
        <v>404</v>
      </c>
      <c r="L76" s="176">
        <v>43337</v>
      </c>
      <c r="M76" s="168" t="s">
        <v>402</v>
      </c>
      <c r="N76" s="168" t="s">
        <v>403</v>
      </c>
      <c r="O76" s="181"/>
    </row>
    <row r="77" spans="1:15">
      <c r="A77" s="100">
        <v>71</v>
      </c>
      <c r="B77" s="171" t="s">
        <v>396</v>
      </c>
      <c r="C77" s="95" t="s">
        <v>428</v>
      </c>
      <c r="D77" s="95" t="s">
        <v>151</v>
      </c>
      <c r="E77" s="172">
        <v>-0.663315</v>
      </c>
      <c r="F77" s="172">
        <v>22.2529533</v>
      </c>
      <c r="G77" s="171" t="s">
        <v>398</v>
      </c>
      <c r="H77" s="171" t="s">
        <v>399</v>
      </c>
      <c r="I77" s="173" t="s">
        <v>400</v>
      </c>
      <c r="J77" s="173"/>
      <c r="K77" s="173" t="s">
        <v>404</v>
      </c>
      <c r="L77" s="174">
        <v>43338</v>
      </c>
      <c r="M77" s="171" t="s">
        <v>402</v>
      </c>
      <c r="N77" s="171" t="s">
        <v>403</v>
      </c>
      <c r="O77" s="181"/>
    </row>
    <row r="78" spans="1:15">
      <c r="A78" s="101">
        <v>72</v>
      </c>
      <c r="B78" s="168" t="s">
        <v>396</v>
      </c>
      <c r="C78" s="90" t="s">
        <v>428</v>
      </c>
      <c r="D78" s="90" t="s">
        <v>152</v>
      </c>
      <c r="E78" s="169">
        <v>1.7473522</v>
      </c>
      <c r="F78" s="169">
        <v>30.29837435</v>
      </c>
      <c r="G78" s="168" t="s">
        <v>398</v>
      </c>
      <c r="H78" s="168" t="s">
        <v>399</v>
      </c>
      <c r="I78" s="170" t="s">
        <v>400</v>
      </c>
      <c r="J78" s="170"/>
      <c r="K78" s="170" t="s">
        <v>404</v>
      </c>
      <c r="L78" s="176">
        <v>43342</v>
      </c>
      <c r="M78" s="168" t="s">
        <v>402</v>
      </c>
      <c r="N78" s="168" t="s">
        <v>403</v>
      </c>
      <c r="O78" s="181"/>
    </row>
    <row r="79" spans="1:15">
      <c r="A79" s="100">
        <v>73</v>
      </c>
      <c r="B79" s="171" t="s">
        <v>396</v>
      </c>
      <c r="C79" s="95" t="s">
        <v>428</v>
      </c>
      <c r="D79" s="95" t="s">
        <v>154</v>
      </c>
      <c r="E79" s="175">
        <v>-1.0868017</v>
      </c>
      <c r="F79" s="175">
        <v>21.8334583</v>
      </c>
      <c r="G79" s="171" t="s">
        <v>398</v>
      </c>
      <c r="H79" s="171" t="s">
        <v>399</v>
      </c>
      <c r="I79" s="173" t="s">
        <v>400</v>
      </c>
      <c r="J79" s="173"/>
      <c r="K79" s="171" t="s">
        <v>401</v>
      </c>
      <c r="L79" s="171">
        <v>2016</v>
      </c>
      <c r="M79" s="171" t="s">
        <v>402</v>
      </c>
      <c r="N79" s="171" t="s">
        <v>403</v>
      </c>
      <c r="O79" s="181"/>
    </row>
    <row r="80" spans="1:15">
      <c r="A80" s="101">
        <v>74</v>
      </c>
      <c r="B80" s="168" t="s">
        <v>396</v>
      </c>
      <c r="C80" s="90" t="s">
        <v>428</v>
      </c>
      <c r="D80" s="90" t="s">
        <v>155</v>
      </c>
      <c r="E80" s="169">
        <v>-0.7675467</v>
      </c>
      <c r="F80" s="169">
        <v>22.22638</v>
      </c>
      <c r="G80" s="168" t="s">
        <v>398</v>
      </c>
      <c r="H80" s="168" t="s">
        <v>399</v>
      </c>
      <c r="I80" s="170" t="s">
        <v>400</v>
      </c>
      <c r="J80" s="170"/>
      <c r="K80" s="170" t="s">
        <v>415</v>
      </c>
      <c r="L80" s="168">
        <v>2019</v>
      </c>
      <c r="M80" s="168" t="s">
        <v>402</v>
      </c>
      <c r="N80" s="168" t="s">
        <v>403</v>
      </c>
      <c r="O80" s="181"/>
    </row>
    <row r="81" spans="1:15">
      <c r="A81" s="100">
        <v>75</v>
      </c>
      <c r="B81" s="171" t="s">
        <v>396</v>
      </c>
      <c r="C81" s="95" t="s">
        <v>428</v>
      </c>
      <c r="D81" s="95" t="s">
        <v>156</v>
      </c>
      <c r="E81" s="171"/>
      <c r="F81" s="171"/>
      <c r="G81" s="171" t="s">
        <v>398</v>
      </c>
      <c r="H81" s="171" t="s">
        <v>399</v>
      </c>
      <c r="I81" s="171" t="s">
        <v>400</v>
      </c>
      <c r="J81" s="175"/>
      <c r="K81" s="171" t="s">
        <v>413</v>
      </c>
      <c r="L81" s="175">
        <v>2023</v>
      </c>
      <c r="M81" s="171" t="s">
        <v>402</v>
      </c>
      <c r="N81" s="171" t="s">
        <v>403</v>
      </c>
      <c r="O81" s="181"/>
    </row>
    <row r="82" spans="1:15">
      <c r="A82" s="101">
        <v>76</v>
      </c>
      <c r="B82" s="168" t="s">
        <v>396</v>
      </c>
      <c r="C82" s="90" t="s">
        <v>428</v>
      </c>
      <c r="D82" s="90" t="s">
        <v>158</v>
      </c>
      <c r="E82" s="169">
        <v>-0.8781002</v>
      </c>
      <c r="F82" s="169">
        <v>22.2429304</v>
      </c>
      <c r="G82" s="168" t="s">
        <v>398</v>
      </c>
      <c r="H82" s="168" t="s">
        <v>399</v>
      </c>
      <c r="I82" s="170" t="s">
        <v>400</v>
      </c>
      <c r="J82" s="170"/>
      <c r="K82" s="168" t="s">
        <v>401</v>
      </c>
      <c r="L82" s="168">
        <v>2016</v>
      </c>
      <c r="M82" s="168" t="s">
        <v>402</v>
      </c>
      <c r="N82" s="168" t="s">
        <v>403</v>
      </c>
      <c r="O82" s="181"/>
    </row>
    <row r="83" spans="1:15">
      <c r="A83" s="100">
        <v>77</v>
      </c>
      <c r="B83" s="171" t="s">
        <v>396</v>
      </c>
      <c r="C83" s="95" t="s">
        <v>428</v>
      </c>
      <c r="D83" s="95" t="s">
        <v>160</v>
      </c>
      <c r="E83" s="172">
        <v>1.78259095555555</v>
      </c>
      <c r="F83" s="172">
        <v>30.2687925</v>
      </c>
      <c r="G83" s="171" t="s">
        <v>398</v>
      </c>
      <c r="H83" s="171" t="s">
        <v>399</v>
      </c>
      <c r="I83" s="173" t="s">
        <v>400</v>
      </c>
      <c r="J83" s="173"/>
      <c r="K83" s="171" t="s">
        <v>401</v>
      </c>
      <c r="L83" s="171">
        <v>2016</v>
      </c>
      <c r="M83" s="171" t="s">
        <v>402</v>
      </c>
      <c r="N83" s="171" t="s">
        <v>403</v>
      </c>
      <c r="O83" s="181"/>
    </row>
    <row r="84" spans="1:15">
      <c r="A84" s="101">
        <v>78</v>
      </c>
      <c r="B84" s="168" t="s">
        <v>396</v>
      </c>
      <c r="C84" s="90" t="s">
        <v>428</v>
      </c>
      <c r="D84" s="90" t="s">
        <v>161</v>
      </c>
      <c r="E84" s="169"/>
      <c r="F84" s="169"/>
      <c r="G84" s="168" t="s">
        <v>398</v>
      </c>
      <c r="H84" s="168" t="s">
        <v>399</v>
      </c>
      <c r="I84" s="168" t="s">
        <v>400</v>
      </c>
      <c r="J84" s="180"/>
      <c r="K84" s="168" t="s">
        <v>413</v>
      </c>
      <c r="L84" s="180">
        <v>2023</v>
      </c>
      <c r="M84" s="168" t="s">
        <v>402</v>
      </c>
      <c r="N84" s="168" t="s">
        <v>403</v>
      </c>
      <c r="O84" s="181"/>
    </row>
    <row r="85" spans="1:15">
      <c r="A85" s="100">
        <v>79</v>
      </c>
      <c r="B85" s="171" t="s">
        <v>396</v>
      </c>
      <c r="C85" s="95" t="s">
        <v>428</v>
      </c>
      <c r="D85" s="95" t="s">
        <v>161</v>
      </c>
      <c r="E85" s="172">
        <v>-0.5889394</v>
      </c>
      <c r="F85" s="172">
        <v>21.9159723</v>
      </c>
      <c r="G85" s="171" t="s">
        <v>398</v>
      </c>
      <c r="H85" s="171" t="s">
        <v>399</v>
      </c>
      <c r="I85" s="173" t="s">
        <v>400</v>
      </c>
      <c r="J85" s="173"/>
      <c r="K85" s="171" t="s">
        <v>401</v>
      </c>
      <c r="L85" s="171">
        <v>2016</v>
      </c>
      <c r="M85" s="171" t="s">
        <v>402</v>
      </c>
      <c r="N85" s="171" t="s">
        <v>403</v>
      </c>
      <c r="O85" s="181"/>
    </row>
    <row r="86" spans="1:15">
      <c r="A86" s="101"/>
      <c r="B86" s="91"/>
      <c r="C86" s="90"/>
      <c r="D86" s="90"/>
      <c r="E86" s="91"/>
      <c r="F86" s="91"/>
      <c r="G86" s="91"/>
      <c r="H86" s="91"/>
      <c r="I86" s="91"/>
      <c r="J86" s="91"/>
      <c r="K86" s="91"/>
      <c r="L86" s="91"/>
      <c r="M86" s="91"/>
      <c r="N86" s="91"/>
      <c r="O86" s="181"/>
    </row>
    <row r="87" spans="1:15">
      <c r="A87" s="100">
        <v>80</v>
      </c>
      <c r="B87" s="171" t="s">
        <v>396</v>
      </c>
      <c r="C87" s="95" t="s">
        <v>429</v>
      </c>
      <c r="D87" s="95" t="s">
        <v>179</v>
      </c>
      <c r="E87" s="172">
        <v>0.2925855</v>
      </c>
      <c r="F87" s="172">
        <v>22.6455013</v>
      </c>
      <c r="G87" s="171" t="s">
        <v>398</v>
      </c>
      <c r="H87" s="171" t="s">
        <v>399</v>
      </c>
      <c r="I87" s="173" t="s">
        <v>400</v>
      </c>
      <c r="J87" s="173"/>
      <c r="K87" s="171" t="s">
        <v>401</v>
      </c>
      <c r="L87" s="171">
        <v>2016</v>
      </c>
      <c r="M87" s="171" t="s">
        <v>402</v>
      </c>
      <c r="N87" s="171" t="s">
        <v>403</v>
      </c>
      <c r="O87" s="136"/>
    </row>
    <row r="88" spans="1:15">
      <c r="A88" s="101">
        <v>81</v>
      </c>
      <c r="B88" s="168" t="s">
        <v>396</v>
      </c>
      <c r="C88" s="90" t="s">
        <v>429</v>
      </c>
      <c r="D88" s="90" t="s">
        <v>164</v>
      </c>
      <c r="E88" s="169">
        <v>0.1668483</v>
      </c>
      <c r="F88" s="169">
        <v>22.398754</v>
      </c>
      <c r="G88" s="168" t="s">
        <v>398</v>
      </c>
      <c r="H88" s="168" t="s">
        <v>399</v>
      </c>
      <c r="I88" s="170" t="s">
        <v>400</v>
      </c>
      <c r="J88" s="170"/>
      <c r="K88" s="168" t="s">
        <v>401</v>
      </c>
      <c r="L88" s="168">
        <v>2016</v>
      </c>
      <c r="M88" s="168" t="s">
        <v>402</v>
      </c>
      <c r="N88" s="168" t="s">
        <v>403</v>
      </c>
      <c r="O88" s="136"/>
    </row>
    <row r="89" spans="1:15">
      <c r="A89" s="100">
        <v>82</v>
      </c>
      <c r="B89" s="171" t="s">
        <v>396</v>
      </c>
      <c r="C89" s="95" t="s">
        <v>429</v>
      </c>
      <c r="D89" s="95" t="s">
        <v>166</v>
      </c>
      <c r="E89" s="172">
        <v>0.683358333333333</v>
      </c>
      <c r="F89" s="172">
        <v>22.4586133333333</v>
      </c>
      <c r="G89" s="171" t="s">
        <v>398</v>
      </c>
      <c r="H89" s="171" t="s">
        <v>399</v>
      </c>
      <c r="I89" s="171" t="s">
        <v>400</v>
      </c>
      <c r="J89" s="175"/>
      <c r="K89" s="171" t="s">
        <v>413</v>
      </c>
      <c r="L89" s="175">
        <v>2023</v>
      </c>
      <c r="M89" s="171" t="s">
        <v>402</v>
      </c>
      <c r="N89" s="171" t="s">
        <v>403</v>
      </c>
      <c r="O89" s="181"/>
    </row>
    <row r="90" spans="1:15">
      <c r="A90" s="101">
        <v>83</v>
      </c>
      <c r="B90" s="168" t="s">
        <v>396</v>
      </c>
      <c r="C90" s="90" t="s">
        <v>429</v>
      </c>
      <c r="D90" s="90" t="s">
        <v>167</v>
      </c>
      <c r="E90" s="169">
        <v>0.4162062</v>
      </c>
      <c r="F90" s="169">
        <v>22.9159275</v>
      </c>
      <c r="G90" s="168" t="s">
        <v>398</v>
      </c>
      <c r="H90" s="168" t="s">
        <v>399</v>
      </c>
      <c r="I90" s="170" t="s">
        <v>400</v>
      </c>
      <c r="J90" s="170"/>
      <c r="K90" s="168" t="s">
        <v>401</v>
      </c>
      <c r="L90" s="168">
        <v>2016</v>
      </c>
      <c r="M90" s="168" t="s">
        <v>402</v>
      </c>
      <c r="N90" s="168" t="s">
        <v>403</v>
      </c>
      <c r="O90" s="181"/>
    </row>
    <row r="91" spans="1:15">
      <c r="A91" s="100">
        <v>84</v>
      </c>
      <c r="B91" s="171" t="s">
        <v>396</v>
      </c>
      <c r="C91" s="95" t="s">
        <v>429</v>
      </c>
      <c r="D91" s="95" t="s">
        <v>169</v>
      </c>
      <c r="E91" s="175">
        <v>0.9544094</v>
      </c>
      <c r="F91" s="175">
        <v>22.7981526</v>
      </c>
      <c r="G91" s="171" t="s">
        <v>398</v>
      </c>
      <c r="H91" s="171" t="s">
        <v>399</v>
      </c>
      <c r="I91" s="173" t="s">
        <v>400</v>
      </c>
      <c r="J91" s="173"/>
      <c r="K91" s="171" t="s">
        <v>401</v>
      </c>
      <c r="L91" s="171">
        <v>2016</v>
      </c>
      <c r="M91" s="171" t="s">
        <v>402</v>
      </c>
      <c r="N91" s="171" t="s">
        <v>403</v>
      </c>
      <c r="O91" s="181"/>
    </row>
    <row r="92" spans="1:15">
      <c r="A92" s="101">
        <v>85</v>
      </c>
      <c r="B92" s="168" t="s">
        <v>396</v>
      </c>
      <c r="C92" s="90" t="s">
        <v>429</v>
      </c>
      <c r="D92" s="90" t="s">
        <v>171</v>
      </c>
      <c r="E92" s="169">
        <v>0.4179085</v>
      </c>
      <c r="F92" s="169">
        <v>22.6685369</v>
      </c>
      <c r="G92" s="168" t="s">
        <v>398</v>
      </c>
      <c r="H92" s="168" t="s">
        <v>399</v>
      </c>
      <c r="I92" s="170" t="s">
        <v>400</v>
      </c>
      <c r="J92" s="170"/>
      <c r="K92" s="168" t="s">
        <v>401</v>
      </c>
      <c r="L92" s="168">
        <v>2016</v>
      </c>
      <c r="M92" s="168" t="s">
        <v>402</v>
      </c>
      <c r="N92" s="168" t="s">
        <v>403</v>
      </c>
      <c r="O92" s="181"/>
    </row>
    <row r="93" spans="1:15">
      <c r="A93" s="100">
        <v>86</v>
      </c>
      <c r="B93" s="171" t="s">
        <v>396</v>
      </c>
      <c r="C93" s="95" t="s">
        <v>429</v>
      </c>
      <c r="D93" s="95" t="s">
        <v>172</v>
      </c>
      <c r="E93" s="172">
        <v>0.74367</v>
      </c>
      <c r="F93" s="172">
        <v>22.3849316666667</v>
      </c>
      <c r="G93" s="171" t="s">
        <v>398</v>
      </c>
      <c r="H93" s="171" t="s">
        <v>399</v>
      </c>
      <c r="I93" s="173" t="s">
        <v>400</v>
      </c>
      <c r="J93" s="173"/>
      <c r="K93" s="173" t="s">
        <v>415</v>
      </c>
      <c r="L93" s="171">
        <v>2019</v>
      </c>
      <c r="M93" s="171" t="s">
        <v>402</v>
      </c>
      <c r="N93" s="171" t="s">
        <v>403</v>
      </c>
      <c r="O93" s="181"/>
    </row>
    <row r="94" spans="1:15">
      <c r="A94" s="101">
        <v>87</v>
      </c>
      <c r="B94" s="168" t="s">
        <v>396</v>
      </c>
      <c r="C94" s="90" t="s">
        <v>429</v>
      </c>
      <c r="D94" s="90" t="s">
        <v>173</v>
      </c>
      <c r="E94" s="169">
        <v>1.0768385</v>
      </c>
      <c r="F94" s="169">
        <v>22.6269238</v>
      </c>
      <c r="G94" s="168" t="s">
        <v>398</v>
      </c>
      <c r="H94" s="168" t="s">
        <v>399</v>
      </c>
      <c r="I94" s="168" t="s">
        <v>400</v>
      </c>
      <c r="J94" s="180"/>
      <c r="K94" s="168" t="s">
        <v>413</v>
      </c>
      <c r="L94" s="180">
        <v>2023</v>
      </c>
      <c r="M94" s="168" t="s">
        <v>402</v>
      </c>
      <c r="N94" s="168" t="s">
        <v>403</v>
      </c>
      <c r="O94" s="181"/>
    </row>
    <row r="95" spans="1:15">
      <c r="A95" s="100">
        <v>88</v>
      </c>
      <c r="B95" s="171" t="s">
        <v>396</v>
      </c>
      <c r="C95" s="95" t="s">
        <v>429</v>
      </c>
      <c r="D95" s="95" t="s">
        <v>174</v>
      </c>
      <c r="E95" s="172">
        <v>0.2795867</v>
      </c>
      <c r="F95" s="172">
        <v>22.9101117</v>
      </c>
      <c r="G95" s="171" t="s">
        <v>398</v>
      </c>
      <c r="H95" s="171" t="s">
        <v>399</v>
      </c>
      <c r="I95" s="173" t="s">
        <v>400</v>
      </c>
      <c r="J95" s="173"/>
      <c r="K95" s="171" t="s">
        <v>401</v>
      </c>
      <c r="L95" s="171">
        <v>2016</v>
      </c>
      <c r="M95" s="171" t="s">
        <v>402</v>
      </c>
      <c r="N95" s="171" t="s">
        <v>403</v>
      </c>
      <c r="O95" s="181"/>
    </row>
    <row r="96" spans="1:15">
      <c r="A96" s="101">
        <v>89</v>
      </c>
      <c r="B96" s="168" t="s">
        <v>396</v>
      </c>
      <c r="C96" s="90" t="s">
        <v>429</v>
      </c>
      <c r="D96" s="90" t="s">
        <v>176</v>
      </c>
      <c r="E96" s="180">
        <v>0.9610986</v>
      </c>
      <c r="F96" s="180">
        <v>22.728089</v>
      </c>
      <c r="G96" s="168" t="s">
        <v>398</v>
      </c>
      <c r="H96" s="168" t="s">
        <v>399</v>
      </c>
      <c r="I96" s="168" t="s">
        <v>400</v>
      </c>
      <c r="J96" s="180"/>
      <c r="K96" s="168" t="s">
        <v>413</v>
      </c>
      <c r="L96" s="180">
        <v>2023</v>
      </c>
      <c r="M96" s="168" t="s">
        <v>402</v>
      </c>
      <c r="N96" s="168" t="s">
        <v>403</v>
      </c>
      <c r="O96" s="181"/>
    </row>
    <row r="97" spans="1:15">
      <c r="A97" s="100">
        <v>90</v>
      </c>
      <c r="B97" s="171" t="s">
        <v>396</v>
      </c>
      <c r="C97" s="95" t="s">
        <v>429</v>
      </c>
      <c r="D97" s="95" t="s">
        <v>177</v>
      </c>
      <c r="E97" s="172">
        <v>0.4323667</v>
      </c>
      <c r="F97" s="172">
        <v>22.5924683</v>
      </c>
      <c r="G97" s="171" t="s">
        <v>398</v>
      </c>
      <c r="H97" s="171" t="s">
        <v>399</v>
      </c>
      <c r="I97" s="173" t="s">
        <v>400</v>
      </c>
      <c r="J97" s="175" t="s">
        <v>430</v>
      </c>
      <c r="K97" s="173" t="s">
        <v>404</v>
      </c>
      <c r="L97" s="174">
        <v>43344</v>
      </c>
      <c r="M97" s="171" t="s">
        <v>408</v>
      </c>
      <c r="N97" s="171" t="s">
        <v>403</v>
      </c>
      <c r="O97" s="181"/>
    </row>
    <row r="98" spans="1:15">
      <c r="A98" s="101">
        <v>91</v>
      </c>
      <c r="B98" s="168" t="s">
        <v>396</v>
      </c>
      <c r="C98" s="90" t="s">
        <v>429</v>
      </c>
      <c r="D98" s="90" t="s">
        <v>178</v>
      </c>
      <c r="E98" s="169">
        <v>0.4618717</v>
      </c>
      <c r="F98" s="169">
        <v>22.5127567</v>
      </c>
      <c r="G98" s="168" t="s">
        <v>398</v>
      </c>
      <c r="H98" s="168" t="s">
        <v>399</v>
      </c>
      <c r="I98" s="170" t="s">
        <v>400</v>
      </c>
      <c r="J98" s="170"/>
      <c r="K98" s="168" t="s">
        <v>401</v>
      </c>
      <c r="L98" s="168">
        <v>2016</v>
      </c>
      <c r="M98" s="168" t="s">
        <v>408</v>
      </c>
      <c r="N98" s="168" t="s">
        <v>403</v>
      </c>
      <c r="O98" s="181"/>
    </row>
    <row r="99" spans="1:15">
      <c r="A99" s="100">
        <v>92</v>
      </c>
      <c r="B99" s="171" t="s">
        <v>396</v>
      </c>
      <c r="C99" s="95" t="s">
        <v>429</v>
      </c>
      <c r="D99" s="95" t="s">
        <v>180</v>
      </c>
      <c r="E99" s="175">
        <v>0.177758333333333</v>
      </c>
      <c r="F99" s="175">
        <v>22.63146</v>
      </c>
      <c r="G99" s="171" t="s">
        <v>398</v>
      </c>
      <c r="H99" s="171" t="s">
        <v>399</v>
      </c>
      <c r="I99" s="173" t="s">
        <v>400</v>
      </c>
      <c r="J99" s="173"/>
      <c r="K99" s="171" t="s">
        <v>401</v>
      </c>
      <c r="L99" s="171">
        <v>2016</v>
      </c>
      <c r="M99" s="171" t="s">
        <v>402</v>
      </c>
      <c r="N99" s="171" t="s">
        <v>403</v>
      </c>
      <c r="O99" s="181"/>
    </row>
    <row r="100" spans="1:15">
      <c r="A100" s="101">
        <v>93</v>
      </c>
      <c r="B100" s="168" t="s">
        <v>396</v>
      </c>
      <c r="C100" s="90" t="s">
        <v>429</v>
      </c>
      <c r="D100" s="90" t="s">
        <v>181</v>
      </c>
      <c r="E100" s="169">
        <v>0.3676385</v>
      </c>
      <c r="F100" s="169">
        <v>22.5639139</v>
      </c>
      <c r="G100" s="168" t="s">
        <v>398</v>
      </c>
      <c r="H100" s="168" t="s">
        <v>399</v>
      </c>
      <c r="I100" s="168" t="s">
        <v>400</v>
      </c>
      <c r="J100" s="180"/>
      <c r="K100" s="168" t="s">
        <v>413</v>
      </c>
      <c r="L100" s="180">
        <v>2023</v>
      </c>
      <c r="M100" s="168" t="s">
        <v>402</v>
      </c>
      <c r="N100" s="168" t="s">
        <v>403</v>
      </c>
      <c r="O100" s="181"/>
    </row>
    <row r="101" spans="1:15">
      <c r="A101" s="100">
        <v>94</v>
      </c>
      <c r="B101" s="171" t="s">
        <v>396</v>
      </c>
      <c r="C101" s="95" t="s">
        <v>429</v>
      </c>
      <c r="D101" s="95" t="s">
        <v>133</v>
      </c>
      <c r="E101" s="172">
        <v>0.4900518</v>
      </c>
      <c r="F101" s="172">
        <v>22.7633505</v>
      </c>
      <c r="G101" s="171" t="s">
        <v>398</v>
      </c>
      <c r="H101" s="171" t="s">
        <v>399</v>
      </c>
      <c r="I101" s="173" t="s">
        <v>400</v>
      </c>
      <c r="J101" s="173"/>
      <c r="K101" s="171" t="s">
        <v>401</v>
      </c>
      <c r="L101" s="171">
        <v>2016</v>
      </c>
      <c r="M101" s="171" t="s">
        <v>408</v>
      </c>
      <c r="N101" s="171" t="s">
        <v>403</v>
      </c>
      <c r="O101" s="181"/>
    </row>
    <row r="102" spans="1:15">
      <c r="A102" s="101">
        <v>95</v>
      </c>
      <c r="B102" s="168" t="s">
        <v>396</v>
      </c>
      <c r="C102" s="90" t="s">
        <v>429</v>
      </c>
      <c r="D102" s="90" t="s">
        <v>183</v>
      </c>
      <c r="E102" s="169">
        <v>0.761612</v>
      </c>
      <c r="F102" s="169">
        <v>22.8109015</v>
      </c>
      <c r="G102" s="168" t="s">
        <v>398</v>
      </c>
      <c r="H102" s="168" t="s">
        <v>399</v>
      </c>
      <c r="I102" s="170" t="s">
        <v>400</v>
      </c>
      <c r="J102" s="170"/>
      <c r="K102" s="170" t="s">
        <v>415</v>
      </c>
      <c r="L102" s="168">
        <v>2019</v>
      </c>
      <c r="M102" s="168" t="s">
        <v>402</v>
      </c>
      <c r="N102" s="168" t="s">
        <v>403</v>
      </c>
      <c r="O102" s="181"/>
    </row>
    <row r="103" spans="1:15">
      <c r="A103" s="100">
        <v>96</v>
      </c>
      <c r="B103" s="171" t="s">
        <v>396</v>
      </c>
      <c r="C103" s="95" t="s">
        <v>429</v>
      </c>
      <c r="D103" s="95" t="s">
        <v>185</v>
      </c>
      <c r="E103" s="172">
        <v>0.57283</v>
      </c>
      <c r="F103" s="172">
        <v>22.4647833</v>
      </c>
      <c r="G103" s="171" t="s">
        <v>398</v>
      </c>
      <c r="H103" s="171" t="s">
        <v>399</v>
      </c>
      <c r="I103" s="173" t="s">
        <v>400</v>
      </c>
      <c r="J103" s="173"/>
      <c r="K103" s="173" t="s">
        <v>404</v>
      </c>
      <c r="L103" s="174">
        <v>43342</v>
      </c>
      <c r="M103" s="171" t="s">
        <v>402</v>
      </c>
      <c r="N103" s="171" t="s">
        <v>403</v>
      </c>
      <c r="O103" s="181"/>
    </row>
    <row r="104" spans="1:15">
      <c r="A104" s="101">
        <v>97</v>
      </c>
      <c r="B104" s="168" t="s">
        <v>396</v>
      </c>
      <c r="C104" s="90" t="s">
        <v>429</v>
      </c>
      <c r="D104" s="90" t="s">
        <v>186</v>
      </c>
      <c r="E104" s="169">
        <v>0.1967033</v>
      </c>
      <c r="F104" s="169">
        <v>22.762495</v>
      </c>
      <c r="G104" s="168" t="s">
        <v>398</v>
      </c>
      <c r="H104" s="168" t="s">
        <v>399</v>
      </c>
      <c r="I104" s="168" t="s">
        <v>400</v>
      </c>
      <c r="J104" s="180"/>
      <c r="K104" s="168" t="s">
        <v>413</v>
      </c>
      <c r="L104" s="180">
        <v>2023</v>
      </c>
      <c r="M104" s="168" t="s">
        <v>402</v>
      </c>
      <c r="N104" s="168" t="s">
        <v>403</v>
      </c>
      <c r="O104" s="181"/>
    </row>
    <row r="105" spans="1:15">
      <c r="A105" s="100">
        <v>98</v>
      </c>
      <c r="B105" s="171" t="s">
        <v>396</v>
      </c>
      <c r="C105" s="95" t="s">
        <v>429</v>
      </c>
      <c r="D105" s="95" t="s">
        <v>187</v>
      </c>
      <c r="E105" s="175">
        <v>0.679746666666667</v>
      </c>
      <c r="F105" s="175">
        <v>22.59881</v>
      </c>
      <c r="G105" s="171" t="s">
        <v>398</v>
      </c>
      <c r="H105" s="171" t="s">
        <v>399</v>
      </c>
      <c r="I105" s="173" t="s">
        <v>400</v>
      </c>
      <c r="J105" s="173"/>
      <c r="K105" s="171" t="s">
        <v>401</v>
      </c>
      <c r="L105" s="171">
        <v>2016</v>
      </c>
      <c r="M105" s="171" t="s">
        <v>408</v>
      </c>
      <c r="N105" s="171" t="s">
        <v>403</v>
      </c>
      <c r="O105" s="181"/>
    </row>
    <row r="106" spans="1:15">
      <c r="A106" s="101">
        <v>99</v>
      </c>
      <c r="B106" s="168" t="s">
        <v>396</v>
      </c>
      <c r="C106" s="90" t="s">
        <v>429</v>
      </c>
      <c r="D106" s="90" t="s">
        <v>188</v>
      </c>
      <c r="E106" s="180">
        <v>0.226355</v>
      </c>
      <c r="F106" s="180">
        <v>22.8383933333333</v>
      </c>
      <c r="G106" s="168" t="s">
        <v>398</v>
      </c>
      <c r="H106" s="168" t="s">
        <v>399</v>
      </c>
      <c r="I106" s="170" t="s">
        <v>400</v>
      </c>
      <c r="J106" s="170"/>
      <c r="K106" s="168" t="s">
        <v>401</v>
      </c>
      <c r="L106" s="168">
        <v>2016</v>
      </c>
      <c r="M106" s="168" t="s">
        <v>402</v>
      </c>
      <c r="N106" s="168" t="s">
        <v>403</v>
      </c>
      <c r="O106" s="181"/>
    </row>
    <row r="107" spans="1:15">
      <c r="A107" s="100">
        <v>100</v>
      </c>
      <c r="B107" s="171" t="s">
        <v>396</v>
      </c>
      <c r="C107" s="95" t="s">
        <v>429</v>
      </c>
      <c r="D107" s="95" t="s">
        <v>189</v>
      </c>
      <c r="E107" s="172">
        <v>0.6821185</v>
      </c>
      <c r="F107" s="172">
        <v>22.6552826</v>
      </c>
      <c r="G107" s="171" t="s">
        <v>398</v>
      </c>
      <c r="H107" s="171" t="s">
        <v>399</v>
      </c>
      <c r="I107" s="171" t="s">
        <v>400</v>
      </c>
      <c r="J107" s="175"/>
      <c r="K107" s="171" t="s">
        <v>413</v>
      </c>
      <c r="L107" s="175">
        <v>2023</v>
      </c>
      <c r="M107" s="171" t="s">
        <v>402</v>
      </c>
      <c r="N107" s="171" t="s">
        <v>403</v>
      </c>
      <c r="O107" s="181"/>
    </row>
    <row r="108" spans="1:15">
      <c r="A108" s="101">
        <v>101</v>
      </c>
      <c r="B108" s="168" t="s">
        <v>396</v>
      </c>
      <c r="C108" s="90" t="s">
        <v>429</v>
      </c>
      <c r="D108" s="90" t="s">
        <v>190</v>
      </c>
      <c r="E108" s="180">
        <v>0.8998828</v>
      </c>
      <c r="F108" s="180">
        <v>22.4631321</v>
      </c>
      <c r="G108" s="168" t="s">
        <v>398</v>
      </c>
      <c r="H108" s="168" t="s">
        <v>399</v>
      </c>
      <c r="I108" s="170" t="s">
        <v>400</v>
      </c>
      <c r="J108" s="170"/>
      <c r="K108" s="170" t="s">
        <v>404</v>
      </c>
      <c r="L108" s="176">
        <v>43343</v>
      </c>
      <c r="M108" s="168" t="s">
        <v>402</v>
      </c>
      <c r="N108" s="168" t="s">
        <v>403</v>
      </c>
      <c r="O108" s="181"/>
    </row>
    <row r="109" spans="1:15">
      <c r="A109" s="100">
        <v>102</v>
      </c>
      <c r="B109" s="171" t="s">
        <v>396</v>
      </c>
      <c r="C109" s="95" t="s">
        <v>429</v>
      </c>
      <c r="D109" s="95" t="s">
        <v>191</v>
      </c>
      <c r="E109" s="175">
        <v>0.1984957</v>
      </c>
      <c r="F109" s="175">
        <v>22.7592557</v>
      </c>
      <c r="G109" s="171" t="s">
        <v>398</v>
      </c>
      <c r="H109" s="171" t="s">
        <v>399</v>
      </c>
      <c r="I109" s="171" t="s">
        <v>400</v>
      </c>
      <c r="J109" s="175"/>
      <c r="K109" s="171" t="s">
        <v>413</v>
      </c>
      <c r="L109" s="175">
        <v>2023</v>
      </c>
      <c r="M109" s="171" t="s">
        <v>402</v>
      </c>
      <c r="N109" s="171" t="s">
        <v>403</v>
      </c>
      <c r="O109" s="181"/>
    </row>
    <row r="110" spans="1:15">
      <c r="A110" s="101">
        <v>103</v>
      </c>
      <c r="B110" s="168" t="s">
        <v>396</v>
      </c>
      <c r="C110" s="90" t="s">
        <v>429</v>
      </c>
      <c r="D110" s="90" t="s">
        <v>192</v>
      </c>
      <c r="E110" s="169">
        <v>1.0164933</v>
      </c>
      <c r="F110" s="169">
        <v>22.550115</v>
      </c>
      <c r="G110" s="168" t="s">
        <v>398</v>
      </c>
      <c r="H110" s="168" t="s">
        <v>399</v>
      </c>
      <c r="I110" s="170" t="s">
        <v>400</v>
      </c>
      <c r="J110" s="170"/>
      <c r="K110" s="168" t="s">
        <v>401</v>
      </c>
      <c r="L110" s="168">
        <v>2016</v>
      </c>
      <c r="M110" s="168" t="s">
        <v>402</v>
      </c>
      <c r="N110" s="168" t="s">
        <v>403</v>
      </c>
      <c r="O110" s="181"/>
    </row>
    <row r="111" spans="1:15">
      <c r="A111" s="100">
        <v>104</v>
      </c>
      <c r="B111" s="171" t="s">
        <v>396</v>
      </c>
      <c r="C111" s="95" t="s">
        <v>429</v>
      </c>
      <c r="D111" s="95" t="s">
        <v>193</v>
      </c>
      <c r="E111" s="172">
        <v>0.6662796</v>
      </c>
      <c r="F111" s="172">
        <v>22.460342</v>
      </c>
      <c r="G111" s="171" t="s">
        <v>398</v>
      </c>
      <c r="H111" s="171" t="s">
        <v>399</v>
      </c>
      <c r="I111" s="173" t="s">
        <v>400</v>
      </c>
      <c r="J111" s="173"/>
      <c r="K111" s="171" t="s">
        <v>401</v>
      </c>
      <c r="L111" s="171">
        <v>2016</v>
      </c>
      <c r="M111" s="171" t="s">
        <v>402</v>
      </c>
      <c r="N111" s="171" t="s">
        <v>403</v>
      </c>
      <c r="O111" s="181"/>
    </row>
    <row r="112" spans="1:15">
      <c r="A112" s="101"/>
      <c r="B112" s="91"/>
      <c r="C112" s="90"/>
      <c r="D112" s="90"/>
      <c r="E112" s="91"/>
      <c r="F112" s="91"/>
      <c r="G112" s="91"/>
      <c r="H112" s="91"/>
      <c r="I112" s="91"/>
      <c r="J112" s="91"/>
      <c r="K112" s="91"/>
      <c r="L112" s="91"/>
      <c r="M112" s="91"/>
      <c r="N112" s="91"/>
      <c r="O112" s="181"/>
    </row>
    <row r="113" spans="1:15">
      <c r="A113" s="100">
        <v>105</v>
      </c>
      <c r="B113" s="171" t="s">
        <v>396</v>
      </c>
      <c r="C113" s="95" t="s">
        <v>431</v>
      </c>
      <c r="D113" s="95" t="s">
        <v>195</v>
      </c>
      <c r="E113" s="172">
        <v>-0.8983339</v>
      </c>
      <c r="F113" s="172">
        <v>23.5279783</v>
      </c>
      <c r="G113" s="171" t="s">
        <v>398</v>
      </c>
      <c r="H113" s="171" t="s">
        <v>399</v>
      </c>
      <c r="I113" s="173" t="s">
        <v>400</v>
      </c>
      <c r="J113" s="173"/>
      <c r="K113" s="171" t="s">
        <v>401</v>
      </c>
      <c r="L113" s="171">
        <v>2016</v>
      </c>
      <c r="M113" s="171" t="s">
        <v>402</v>
      </c>
      <c r="N113" s="171" t="s">
        <v>403</v>
      </c>
      <c r="O113" s="136"/>
    </row>
    <row r="114" spans="1:15">
      <c r="A114" s="101">
        <v>106</v>
      </c>
      <c r="B114" s="168" t="s">
        <v>396</v>
      </c>
      <c r="C114" s="90" t="s">
        <v>431</v>
      </c>
      <c r="D114" s="90" t="s">
        <v>199</v>
      </c>
      <c r="E114" s="169">
        <v>-1.0509821</v>
      </c>
      <c r="F114" s="169">
        <v>23.3641883</v>
      </c>
      <c r="G114" s="168" t="s">
        <v>398</v>
      </c>
      <c r="H114" s="168" t="s">
        <v>399</v>
      </c>
      <c r="I114" s="170" t="s">
        <v>400</v>
      </c>
      <c r="J114" s="180" t="s">
        <v>432</v>
      </c>
      <c r="K114" s="170" t="s">
        <v>404</v>
      </c>
      <c r="L114" s="176">
        <v>43309</v>
      </c>
      <c r="M114" s="168" t="s">
        <v>408</v>
      </c>
      <c r="N114" s="168" t="s">
        <v>403</v>
      </c>
      <c r="O114" s="181"/>
    </row>
    <row r="115" spans="1:15">
      <c r="A115" s="100">
        <v>107</v>
      </c>
      <c r="B115" s="171" t="s">
        <v>396</v>
      </c>
      <c r="C115" s="95" t="s">
        <v>431</v>
      </c>
      <c r="D115" s="95" t="s">
        <v>201</v>
      </c>
      <c r="E115" s="172">
        <v>-1.1240865</v>
      </c>
      <c r="F115" s="172">
        <v>23.3827051</v>
      </c>
      <c r="G115" s="171" t="s">
        <v>398</v>
      </c>
      <c r="H115" s="171" t="s">
        <v>399</v>
      </c>
      <c r="I115" s="171" t="s">
        <v>400</v>
      </c>
      <c r="J115" s="175"/>
      <c r="K115" s="171" t="s">
        <v>413</v>
      </c>
      <c r="L115" s="175">
        <v>2023</v>
      </c>
      <c r="M115" s="171" t="s">
        <v>402</v>
      </c>
      <c r="N115" s="171" t="s">
        <v>403</v>
      </c>
      <c r="O115" s="181"/>
    </row>
    <row r="116" spans="1:15">
      <c r="A116" s="101">
        <v>108</v>
      </c>
      <c r="B116" s="168" t="s">
        <v>396</v>
      </c>
      <c r="C116" s="90" t="s">
        <v>431</v>
      </c>
      <c r="D116" s="90" t="s">
        <v>203</v>
      </c>
      <c r="E116" s="169">
        <v>-0.7150019</v>
      </c>
      <c r="F116" s="169">
        <v>23.2915328</v>
      </c>
      <c r="G116" s="168" t="s">
        <v>398</v>
      </c>
      <c r="H116" s="168" t="s">
        <v>399</v>
      </c>
      <c r="I116" s="170" t="s">
        <v>400</v>
      </c>
      <c r="J116" s="170"/>
      <c r="K116" s="168" t="s">
        <v>401</v>
      </c>
      <c r="L116" s="168">
        <v>2016</v>
      </c>
      <c r="M116" s="168" t="s">
        <v>402</v>
      </c>
      <c r="N116" s="168" t="s">
        <v>403</v>
      </c>
      <c r="O116" s="181"/>
    </row>
    <row r="117" spans="1:15">
      <c r="A117" s="100">
        <v>109</v>
      </c>
      <c r="B117" s="171" t="s">
        <v>396</v>
      </c>
      <c r="C117" s="95" t="s">
        <v>431</v>
      </c>
      <c r="D117" s="95" t="s">
        <v>205</v>
      </c>
      <c r="E117" s="172">
        <v>-0.6676911</v>
      </c>
      <c r="F117" s="172">
        <v>23.4312093</v>
      </c>
      <c r="G117" s="171" t="s">
        <v>398</v>
      </c>
      <c r="H117" s="171" t="s">
        <v>399</v>
      </c>
      <c r="I117" s="171" t="s">
        <v>400</v>
      </c>
      <c r="J117" s="175"/>
      <c r="K117" s="171" t="s">
        <v>413</v>
      </c>
      <c r="L117" s="175">
        <v>2023</v>
      </c>
      <c r="M117" s="171" t="s">
        <v>402</v>
      </c>
      <c r="N117" s="171" t="s">
        <v>403</v>
      </c>
      <c r="O117" s="181"/>
    </row>
    <row r="118" spans="1:15">
      <c r="A118" s="101">
        <v>110</v>
      </c>
      <c r="B118" s="168" t="s">
        <v>396</v>
      </c>
      <c r="C118" s="90" t="s">
        <v>431</v>
      </c>
      <c r="D118" s="90" t="s">
        <v>207</v>
      </c>
      <c r="E118" s="169">
        <v>-1.2375662</v>
      </c>
      <c r="F118" s="169">
        <v>23.5980514</v>
      </c>
      <c r="G118" s="168" t="s">
        <v>398</v>
      </c>
      <c r="H118" s="168" t="s">
        <v>399</v>
      </c>
      <c r="I118" s="170" t="s">
        <v>400</v>
      </c>
      <c r="J118" s="170"/>
      <c r="K118" s="168" t="s">
        <v>401</v>
      </c>
      <c r="L118" s="168">
        <v>2016</v>
      </c>
      <c r="M118" s="168" t="s">
        <v>402</v>
      </c>
      <c r="N118" s="168" t="s">
        <v>403</v>
      </c>
      <c r="O118" s="181"/>
    </row>
    <row r="119" spans="1:15">
      <c r="A119" s="100">
        <v>111</v>
      </c>
      <c r="B119" s="171" t="s">
        <v>396</v>
      </c>
      <c r="C119" s="95" t="s">
        <v>431</v>
      </c>
      <c r="D119" s="95" t="s">
        <v>209</v>
      </c>
      <c r="E119" s="172">
        <v>-1.8747381</v>
      </c>
      <c r="F119" s="172">
        <v>23.0917473</v>
      </c>
      <c r="G119" s="171" t="s">
        <v>398</v>
      </c>
      <c r="H119" s="171" t="s">
        <v>399</v>
      </c>
      <c r="I119" s="173" t="s">
        <v>400</v>
      </c>
      <c r="J119" s="173"/>
      <c r="K119" s="171" t="s">
        <v>401</v>
      </c>
      <c r="L119" s="171">
        <v>2016</v>
      </c>
      <c r="M119" s="171" t="s">
        <v>402</v>
      </c>
      <c r="N119" s="171" t="s">
        <v>403</v>
      </c>
      <c r="O119" s="181"/>
    </row>
    <row r="120" spans="1:15">
      <c r="A120" s="101">
        <v>112</v>
      </c>
      <c r="B120" s="168" t="s">
        <v>396</v>
      </c>
      <c r="C120" s="90" t="s">
        <v>431</v>
      </c>
      <c r="D120" s="90" t="s">
        <v>211</v>
      </c>
      <c r="E120" s="169">
        <v>-0.9906138</v>
      </c>
      <c r="F120" s="169">
        <v>23.5179964</v>
      </c>
      <c r="G120" s="168" t="s">
        <v>398</v>
      </c>
      <c r="H120" s="168" t="s">
        <v>399</v>
      </c>
      <c r="I120" s="168" t="s">
        <v>400</v>
      </c>
      <c r="J120" s="180"/>
      <c r="K120" s="168" t="s">
        <v>413</v>
      </c>
      <c r="L120" s="180">
        <v>2023</v>
      </c>
      <c r="M120" s="168" t="s">
        <v>402</v>
      </c>
      <c r="N120" s="168" t="s">
        <v>403</v>
      </c>
      <c r="O120" s="181"/>
    </row>
    <row r="121" spans="1:15">
      <c r="A121" s="100">
        <v>113</v>
      </c>
      <c r="B121" s="171" t="s">
        <v>396</v>
      </c>
      <c r="C121" s="95" t="s">
        <v>431</v>
      </c>
      <c r="D121" s="95" t="s">
        <v>213</v>
      </c>
      <c r="E121" s="172">
        <v>-1.2064265</v>
      </c>
      <c r="F121" s="172">
        <v>23.7697267</v>
      </c>
      <c r="G121" s="171" t="s">
        <v>398</v>
      </c>
      <c r="H121" s="171" t="s">
        <v>399</v>
      </c>
      <c r="I121" s="173" t="s">
        <v>400</v>
      </c>
      <c r="J121" s="173"/>
      <c r="K121" s="171" t="s">
        <v>401</v>
      </c>
      <c r="L121" s="171">
        <v>2016</v>
      </c>
      <c r="M121" s="171" t="s">
        <v>402</v>
      </c>
      <c r="N121" s="171" t="s">
        <v>403</v>
      </c>
      <c r="O121" s="181"/>
    </row>
    <row r="122" spans="1:15">
      <c r="A122" s="101">
        <v>114</v>
      </c>
      <c r="B122" s="168" t="s">
        <v>396</v>
      </c>
      <c r="C122" s="90" t="s">
        <v>431</v>
      </c>
      <c r="D122" s="90" t="s">
        <v>215</v>
      </c>
      <c r="E122" s="169">
        <v>-0.7206244</v>
      </c>
      <c r="F122" s="169">
        <v>23.5047172</v>
      </c>
      <c r="G122" s="168" t="s">
        <v>398</v>
      </c>
      <c r="H122" s="168" t="s">
        <v>399</v>
      </c>
      <c r="I122" s="170" t="s">
        <v>400</v>
      </c>
      <c r="J122" s="170"/>
      <c r="K122" s="168" t="s">
        <v>401</v>
      </c>
      <c r="L122" s="168">
        <v>2016</v>
      </c>
      <c r="M122" s="168" t="s">
        <v>402</v>
      </c>
      <c r="N122" s="168" t="s">
        <v>403</v>
      </c>
      <c r="O122" s="181"/>
    </row>
    <row r="123" spans="1:15">
      <c r="A123" s="100">
        <v>115</v>
      </c>
      <c r="B123" s="171" t="s">
        <v>396</v>
      </c>
      <c r="C123" s="95" t="s">
        <v>431</v>
      </c>
      <c r="D123" s="95" t="s">
        <v>217</v>
      </c>
      <c r="E123" s="171"/>
      <c r="F123" s="171"/>
      <c r="G123" s="171" t="s">
        <v>398</v>
      </c>
      <c r="H123" s="171" t="s">
        <v>399</v>
      </c>
      <c r="I123" s="171" t="s">
        <v>400</v>
      </c>
      <c r="J123" s="175"/>
      <c r="K123" s="171" t="s">
        <v>413</v>
      </c>
      <c r="L123" s="175">
        <v>2023</v>
      </c>
      <c r="M123" s="171" t="s">
        <v>402</v>
      </c>
      <c r="N123" s="171" t="s">
        <v>403</v>
      </c>
      <c r="O123" s="181"/>
    </row>
    <row r="124" spans="1:15">
      <c r="A124" s="101">
        <v>116</v>
      </c>
      <c r="B124" s="168" t="s">
        <v>396</v>
      </c>
      <c r="C124" s="90" t="s">
        <v>431</v>
      </c>
      <c r="D124" s="90" t="s">
        <v>220</v>
      </c>
      <c r="E124" s="169">
        <v>-1.329188</v>
      </c>
      <c r="F124" s="169">
        <v>23.3876597</v>
      </c>
      <c r="G124" s="168" t="s">
        <v>398</v>
      </c>
      <c r="H124" s="168" t="s">
        <v>399</v>
      </c>
      <c r="I124" s="168" t="s">
        <v>400</v>
      </c>
      <c r="J124" s="180"/>
      <c r="K124" s="168" t="s">
        <v>413</v>
      </c>
      <c r="L124" s="180">
        <v>2023</v>
      </c>
      <c r="M124" s="168" t="s">
        <v>402</v>
      </c>
      <c r="N124" s="168" t="s">
        <v>403</v>
      </c>
      <c r="O124" s="181"/>
    </row>
    <row r="125" spans="1:15">
      <c r="A125" s="100">
        <v>117</v>
      </c>
      <c r="B125" s="171" t="s">
        <v>396</v>
      </c>
      <c r="C125" s="95" t="s">
        <v>431</v>
      </c>
      <c r="D125" s="95" t="s">
        <v>224</v>
      </c>
      <c r="E125" s="171"/>
      <c r="F125" s="171"/>
      <c r="G125" s="171" t="s">
        <v>398</v>
      </c>
      <c r="H125" s="171" t="s">
        <v>399</v>
      </c>
      <c r="I125" s="171" t="s">
        <v>400</v>
      </c>
      <c r="J125" s="175"/>
      <c r="K125" s="171" t="s">
        <v>413</v>
      </c>
      <c r="L125" s="175">
        <v>2023</v>
      </c>
      <c r="M125" s="171" t="s">
        <v>402</v>
      </c>
      <c r="N125" s="171" t="s">
        <v>403</v>
      </c>
      <c r="O125" s="181"/>
    </row>
    <row r="126" spans="1:15">
      <c r="A126" s="101">
        <v>118</v>
      </c>
      <c r="B126" s="168" t="s">
        <v>396</v>
      </c>
      <c r="C126" s="90" t="s">
        <v>431</v>
      </c>
      <c r="D126" s="90" t="s">
        <v>226</v>
      </c>
      <c r="E126" s="169">
        <v>-0.4442867</v>
      </c>
      <c r="F126" s="169">
        <v>23.5319867</v>
      </c>
      <c r="G126" s="168" t="s">
        <v>398</v>
      </c>
      <c r="H126" s="168" t="s">
        <v>399</v>
      </c>
      <c r="I126" s="170" t="s">
        <v>400</v>
      </c>
      <c r="J126" s="170"/>
      <c r="K126" s="168" t="s">
        <v>401</v>
      </c>
      <c r="L126" s="168">
        <v>2016</v>
      </c>
      <c r="M126" s="168" t="s">
        <v>402</v>
      </c>
      <c r="N126" s="168" t="s">
        <v>403</v>
      </c>
      <c r="O126" s="181"/>
    </row>
    <row r="127" spans="1:15">
      <c r="A127" s="100">
        <v>119</v>
      </c>
      <c r="B127" s="171" t="s">
        <v>396</v>
      </c>
      <c r="C127" s="95" t="s">
        <v>431</v>
      </c>
      <c r="D127" s="95" t="s">
        <v>228</v>
      </c>
      <c r="E127" s="172">
        <v>-0.8049082</v>
      </c>
      <c r="F127" s="172">
        <v>23.3120084</v>
      </c>
      <c r="G127" s="171" t="s">
        <v>398</v>
      </c>
      <c r="H127" s="171" t="s">
        <v>399</v>
      </c>
      <c r="I127" s="173" t="s">
        <v>400</v>
      </c>
      <c r="J127" s="173"/>
      <c r="K127" s="173" t="s">
        <v>404</v>
      </c>
      <c r="L127" s="174">
        <v>43359</v>
      </c>
      <c r="M127" s="171" t="s">
        <v>402</v>
      </c>
      <c r="N127" s="171" t="s">
        <v>403</v>
      </c>
      <c r="O127" s="181"/>
    </row>
    <row r="128" spans="1:15">
      <c r="A128" s="101">
        <v>120</v>
      </c>
      <c r="B128" s="168" t="s">
        <v>396</v>
      </c>
      <c r="C128" s="90" t="s">
        <v>431</v>
      </c>
      <c r="D128" s="90" t="s">
        <v>229</v>
      </c>
      <c r="E128" s="169">
        <v>-1.3266269</v>
      </c>
      <c r="F128" s="169">
        <v>24.1069421</v>
      </c>
      <c r="G128" s="168" t="s">
        <v>398</v>
      </c>
      <c r="H128" s="168" t="s">
        <v>399</v>
      </c>
      <c r="I128" s="170" t="s">
        <v>400</v>
      </c>
      <c r="J128" s="170"/>
      <c r="K128" s="168" t="s">
        <v>401</v>
      </c>
      <c r="L128" s="168">
        <v>2016</v>
      </c>
      <c r="M128" s="168" t="s">
        <v>402</v>
      </c>
      <c r="N128" s="168" t="s">
        <v>403</v>
      </c>
      <c r="O128" s="181"/>
    </row>
    <row r="129" spans="1:15">
      <c r="A129" s="100">
        <v>121</v>
      </c>
      <c r="B129" s="171" t="s">
        <v>396</v>
      </c>
      <c r="C129" s="95" t="s">
        <v>431</v>
      </c>
      <c r="D129" s="95" t="s">
        <v>105</v>
      </c>
      <c r="E129" s="172"/>
      <c r="F129" s="172"/>
      <c r="G129" s="171" t="s">
        <v>398</v>
      </c>
      <c r="H129" s="171" t="s">
        <v>399</v>
      </c>
      <c r="I129" s="173" t="s">
        <v>400</v>
      </c>
      <c r="J129" s="173"/>
      <c r="K129" s="171" t="s">
        <v>401</v>
      </c>
      <c r="L129" s="171">
        <v>2016</v>
      </c>
      <c r="M129" s="171" t="s">
        <v>402</v>
      </c>
      <c r="N129" s="171" t="s">
        <v>403</v>
      </c>
      <c r="O129" s="181"/>
    </row>
    <row r="130" spans="1:15">
      <c r="A130" s="101">
        <v>122</v>
      </c>
      <c r="B130" s="168" t="s">
        <v>396</v>
      </c>
      <c r="C130" s="90" t="s">
        <v>431</v>
      </c>
      <c r="D130" s="90" t="s">
        <v>105</v>
      </c>
      <c r="E130" s="169">
        <v>-1.3635317</v>
      </c>
      <c r="F130" s="169">
        <v>23.771465</v>
      </c>
      <c r="G130" s="168" t="s">
        <v>398</v>
      </c>
      <c r="H130" s="168" t="s">
        <v>399</v>
      </c>
      <c r="I130" s="170" t="s">
        <v>400</v>
      </c>
      <c r="J130" s="170"/>
      <c r="K130" s="168" t="s">
        <v>401</v>
      </c>
      <c r="L130" s="168">
        <v>2016</v>
      </c>
      <c r="M130" s="168" t="s">
        <v>402</v>
      </c>
      <c r="N130" s="168" t="s">
        <v>403</v>
      </c>
      <c r="O130" s="181"/>
    </row>
    <row r="131" spans="1:15">
      <c r="A131" s="100">
        <v>123</v>
      </c>
      <c r="B131" s="171" t="s">
        <v>396</v>
      </c>
      <c r="C131" s="95" t="s">
        <v>431</v>
      </c>
      <c r="D131" s="95" t="s">
        <v>232</v>
      </c>
      <c r="E131" s="171"/>
      <c r="F131" s="171"/>
      <c r="G131" s="171" t="s">
        <v>398</v>
      </c>
      <c r="H131" s="171" t="s">
        <v>399</v>
      </c>
      <c r="I131" s="171" t="s">
        <v>400</v>
      </c>
      <c r="J131" s="175"/>
      <c r="K131" s="171" t="s">
        <v>413</v>
      </c>
      <c r="L131" s="175">
        <v>2023</v>
      </c>
      <c r="M131" s="171" t="s">
        <v>402</v>
      </c>
      <c r="N131" s="171" t="s">
        <v>403</v>
      </c>
      <c r="O131" s="181"/>
    </row>
    <row r="132" spans="1:15">
      <c r="A132" s="101">
        <v>124</v>
      </c>
      <c r="B132" s="168" t="s">
        <v>396</v>
      </c>
      <c r="C132" s="90" t="s">
        <v>431</v>
      </c>
      <c r="D132" s="90" t="s">
        <v>233</v>
      </c>
      <c r="E132" s="169">
        <v>-1.8796325</v>
      </c>
      <c r="F132" s="169">
        <v>23.3799489</v>
      </c>
      <c r="G132" s="168" t="s">
        <v>398</v>
      </c>
      <c r="H132" s="168" t="s">
        <v>399</v>
      </c>
      <c r="I132" s="170" t="s">
        <v>400</v>
      </c>
      <c r="J132" s="170"/>
      <c r="K132" s="168" t="s">
        <v>401</v>
      </c>
      <c r="L132" s="168">
        <v>2016</v>
      </c>
      <c r="M132" s="168" t="s">
        <v>402</v>
      </c>
      <c r="N132" s="168" t="s">
        <v>403</v>
      </c>
      <c r="O132" s="181"/>
    </row>
    <row r="133" spans="1:15">
      <c r="A133" s="100">
        <v>125</v>
      </c>
      <c r="B133" s="171" t="s">
        <v>396</v>
      </c>
      <c r="C133" s="95" t="s">
        <v>431</v>
      </c>
      <c r="D133" s="95" t="s">
        <v>234</v>
      </c>
      <c r="E133" s="172">
        <v>-1.0791485</v>
      </c>
      <c r="F133" s="172">
        <v>23.1794467</v>
      </c>
      <c r="G133" s="171" t="s">
        <v>398</v>
      </c>
      <c r="H133" s="171" t="s">
        <v>399</v>
      </c>
      <c r="I133" s="173" t="s">
        <v>400</v>
      </c>
      <c r="J133" s="173"/>
      <c r="K133" s="173" t="s">
        <v>415</v>
      </c>
      <c r="L133" s="171">
        <v>2019</v>
      </c>
      <c r="M133" s="171" t="s">
        <v>402</v>
      </c>
      <c r="N133" s="171" t="s">
        <v>403</v>
      </c>
      <c r="O133" s="181"/>
    </row>
    <row r="134" spans="1:15">
      <c r="A134" s="101">
        <v>126</v>
      </c>
      <c r="B134" s="168" t="s">
        <v>396</v>
      </c>
      <c r="C134" s="90" t="s">
        <v>431</v>
      </c>
      <c r="D134" s="90" t="s">
        <v>235</v>
      </c>
      <c r="E134" s="169">
        <v>-1.75994</v>
      </c>
      <c r="F134" s="169">
        <v>23.396255</v>
      </c>
      <c r="G134" s="168" t="s">
        <v>398</v>
      </c>
      <c r="H134" s="168" t="s">
        <v>399</v>
      </c>
      <c r="I134" s="170" t="s">
        <v>400</v>
      </c>
      <c r="J134" s="170"/>
      <c r="K134" s="168" t="s">
        <v>401</v>
      </c>
      <c r="L134" s="168">
        <v>2016</v>
      </c>
      <c r="M134" s="168" t="s">
        <v>402</v>
      </c>
      <c r="N134" s="168" t="s">
        <v>403</v>
      </c>
      <c r="O134" s="181"/>
    </row>
    <row r="135" spans="1:15">
      <c r="A135" s="100">
        <v>127</v>
      </c>
      <c r="B135" s="171" t="s">
        <v>396</v>
      </c>
      <c r="C135" s="95" t="s">
        <v>431</v>
      </c>
      <c r="D135" s="95" t="s">
        <v>236</v>
      </c>
      <c r="E135" s="172">
        <v>-1.6305722</v>
      </c>
      <c r="F135" s="172">
        <v>23.4062848</v>
      </c>
      <c r="G135" s="171" t="s">
        <v>398</v>
      </c>
      <c r="H135" s="171" t="s">
        <v>399</v>
      </c>
      <c r="I135" s="173" t="s">
        <v>400</v>
      </c>
      <c r="J135" s="173"/>
      <c r="K135" s="171" t="s">
        <v>401</v>
      </c>
      <c r="L135" s="171">
        <v>2016</v>
      </c>
      <c r="M135" s="171" t="s">
        <v>402</v>
      </c>
      <c r="N135" s="171" t="s">
        <v>403</v>
      </c>
      <c r="O135" s="181"/>
    </row>
    <row r="136" spans="1:15">
      <c r="A136" s="101">
        <v>128</v>
      </c>
      <c r="B136" s="168" t="s">
        <v>396</v>
      </c>
      <c r="C136" s="90" t="s">
        <v>431</v>
      </c>
      <c r="D136" s="90" t="s">
        <v>237</v>
      </c>
      <c r="E136" s="169">
        <v>-1.13439</v>
      </c>
      <c r="F136" s="169">
        <v>23.0313583</v>
      </c>
      <c r="G136" s="168" t="s">
        <v>398</v>
      </c>
      <c r="H136" s="168" t="s">
        <v>399</v>
      </c>
      <c r="I136" s="170" t="s">
        <v>400</v>
      </c>
      <c r="J136" s="170"/>
      <c r="K136" s="168" t="s">
        <v>401</v>
      </c>
      <c r="L136" s="168">
        <v>2016</v>
      </c>
      <c r="M136" s="168" t="s">
        <v>408</v>
      </c>
      <c r="N136" s="168" t="s">
        <v>403</v>
      </c>
      <c r="O136" s="181"/>
    </row>
    <row r="137" spans="1:15">
      <c r="A137" s="100">
        <v>129</v>
      </c>
      <c r="B137" s="171" t="s">
        <v>396</v>
      </c>
      <c r="C137" s="95" t="s">
        <v>431</v>
      </c>
      <c r="D137" s="95" t="s">
        <v>238</v>
      </c>
      <c r="E137" s="172">
        <v>-1.9806216</v>
      </c>
      <c r="F137" s="172">
        <v>23.3910497</v>
      </c>
      <c r="G137" s="171" t="s">
        <v>398</v>
      </c>
      <c r="H137" s="171" t="s">
        <v>399</v>
      </c>
      <c r="I137" s="171" t="s">
        <v>400</v>
      </c>
      <c r="J137" s="175"/>
      <c r="K137" s="171" t="s">
        <v>413</v>
      </c>
      <c r="L137" s="175">
        <v>2023</v>
      </c>
      <c r="M137" s="171" t="s">
        <v>402</v>
      </c>
      <c r="N137" s="171" t="s">
        <v>403</v>
      </c>
      <c r="O137" s="181"/>
    </row>
    <row r="138" spans="1:15">
      <c r="A138" s="101"/>
      <c r="B138" s="91"/>
      <c r="C138" s="90"/>
      <c r="D138" s="90"/>
      <c r="E138" s="91"/>
      <c r="F138" s="91"/>
      <c r="G138" s="91"/>
      <c r="H138" s="91"/>
      <c r="I138" s="91"/>
      <c r="J138" s="91"/>
      <c r="K138" s="91"/>
      <c r="L138" s="91"/>
      <c r="M138" s="91"/>
      <c r="N138" s="91"/>
      <c r="O138" s="181"/>
    </row>
    <row r="139" spans="1:15">
      <c r="A139" s="100">
        <v>130</v>
      </c>
      <c r="B139" s="171" t="s">
        <v>396</v>
      </c>
      <c r="C139" s="95" t="s">
        <v>433</v>
      </c>
      <c r="D139" s="95" t="s">
        <v>242</v>
      </c>
      <c r="E139" s="175">
        <v>1.3056446</v>
      </c>
      <c r="F139" s="175">
        <v>22.5432577</v>
      </c>
      <c r="G139" s="171" t="s">
        <v>398</v>
      </c>
      <c r="H139" s="171" t="s">
        <v>399</v>
      </c>
      <c r="I139" s="173" t="s">
        <v>400</v>
      </c>
      <c r="J139" s="173"/>
      <c r="K139" s="171" t="s">
        <v>401</v>
      </c>
      <c r="L139" s="171">
        <v>2016</v>
      </c>
      <c r="M139" s="171" t="s">
        <v>402</v>
      </c>
      <c r="N139" s="171" t="s">
        <v>403</v>
      </c>
      <c r="O139" s="136"/>
    </row>
    <row r="140" spans="1:15">
      <c r="A140" s="101">
        <v>131</v>
      </c>
      <c r="B140" s="168" t="s">
        <v>396</v>
      </c>
      <c r="C140" s="90" t="s">
        <v>433</v>
      </c>
      <c r="D140" s="90" t="s">
        <v>243</v>
      </c>
      <c r="E140" s="169">
        <v>1.5903783</v>
      </c>
      <c r="F140" s="169">
        <v>22.0872733</v>
      </c>
      <c r="G140" s="168" t="s">
        <v>398</v>
      </c>
      <c r="H140" s="168" t="s">
        <v>399</v>
      </c>
      <c r="I140" s="170" t="s">
        <v>400</v>
      </c>
      <c r="J140" s="170"/>
      <c r="K140" s="168" t="s">
        <v>401</v>
      </c>
      <c r="L140" s="168">
        <v>2016</v>
      </c>
      <c r="M140" s="168" t="s">
        <v>408</v>
      </c>
      <c r="N140" s="168" t="s">
        <v>403</v>
      </c>
      <c r="O140" s="181"/>
    </row>
    <row r="141" spans="1:15">
      <c r="A141" s="100">
        <v>132</v>
      </c>
      <c r="B141" s="171" t="s">
        <v>396</v>
      </c>
      <c r="C141" s="95" t="s">
        <v>433</v>
      </c>
      <c r="D141" s="95" t="s">
        <v>244</v>
      </c>
      <c r="E141" s="175">
        <v>1.4795408</v>
      </c>
      <c r="F141" s="175">
        <v>22.2181356</v>
      </c>
      <c r="G141" s="171" t="s">
        <v>398</v>
      </c>
      <c r="H141" s="171" t="s">
        <v>399</v>
      </c>
      <c r="I141" s="173" t="s">
        <v>400</v>
      </c>
      <c r="J141" s="173"/>
      <c r="K141" s="171" t="s">
        <v>401</v>
      </c>
      <c r="L141" s="171">
        <v>2016</v>
      </c>
      <c r="M141" s="171" t="s">
        <v>408</v>
      </c>
      <c r="N141" s="171" t="s">
        <v>403</v>
      </c>
      <c r="O141" s="181"/>
    </row>
    <row r="142" spans="1:15">
      <c r="A142" s="101">
        <v>133</v>
      </c>
      <c r="B142" s="168" t="s">
        <v>396</v>
      </c>
      <c r="C142" s="90" t="s">
        <v>433</v>
      </c>
      <c r="D142" s="90" t="s">
        <v>245</v>
      </c>
      <c r="E142" s="180">
        <v>1.2322842</v>
      </c>
      <c r="F142" s="180">
        <v>22.2043561</v>
      </c>
      <c r="G142" s="168" t="s">
        <v>398</v>
      </c>
      <c r="H142" s="168" t="s">
        <v>399</v>
      </c>
      <c r="I142" s="170" t="s">
        <v>400</v>
      </c>
      <c r="J142" s="180" t="s">
        <v>434</v>
      </c>
      <c r="K142" s="170" t="s">
        <v>404</v>
      </c>
      <c r="L142" s="176">
        <v>43339</v>
      </c>
      <c r="M142" s="168" t="s">
        <v>408</v>
      </c>
      <c r="N142" s="168" t="s">
        <v>403</v>
      </c>
      <c r="O142" s="181"/>
    </row>
    <row r="143" spans="1:15">
      <c r="A143" s="100">
        <v>134</v>
      </c>
      <c r="B143" s="171" t="s">
        <v>396</v>
      </c>
      <c r="C143" s="95" t="s">
        <v>433</v>
      </c>
      <c r="D143" s="95" t="s">
        <v>246</v>
      </c>
      <c r="E143" s="172">
        <v>0.6831069</v>
      </c>
      <c r="F143" s="172">
        <v>22.0548284</v>
      </c>
      <c r="G143" s="171" t="s">
        <v>398</v>
      </c>
      <c r="H143" s="171" t="s">
        <v>399</v>
      </c>
      <c r="I143" s="171" t="s">
        <v>427</v>
      </c>
      <c r="J143" s="171"/>
      <c r="K143" s="171"/>
      <c r="L143" s="171"/>
      <c r="M143" s="171" t="s">
        <v>408</v>
      </c>
      <c r="N143" s="171" t="s">
        <v>403</v>
      </c>
      <c r="O143" s="181"/>
    </row>
    <row r="144" spans="1:15">
      <c r="A144" s="101">
        <v>135</v>
      </c>
      <c r="B144" s="168" t="s">
        <v>396</v>
      </c>
      <c r="C144" s="90" t="s">
        <v>433</v>
      </c>
      <c r="D144" s="90" t="s">
        <v>247</v>
      </c>
      <c r="E144" s="169">
        <v>0.7754573</v>
      </c>
      <c r="F144" s="169">
        <v>22.0265916</v>
      </c>
      <c r="G144" s="168" t="s">
        <v>398</v>
      </c>
      <c r="H144" s="168" t="s">
        <v>399</v>
      </c>
      <c r="I144" s="168" t="s">
        <v>400</v>
      </c>
      <c r="J144" s="180"/>
      <c r="K144" s="168" t="s">
        <v>413</v>
      </c>
      <c r="L144" s="180">
        <v>2023</v>
      </c>
      <c r="M144" s="168" t="s">
        <v>402</v>
      </c>
      <c r="N144" s="168" t="s">
        <v>403</v>
      </c>
      <c r="O144" s="181"/>
    </row>
    <row r="145" spans="1:15">
      <c r="A145" s="100">
        <v>136</v>
      </c>
      <c r="B145" s="171" t="s">
        <v>396</v>
      </c>
      <c r="C145" s="95" t="s">
        <v>433</v>
      </c>
      <c r="D145" s="95" t="s">
        <v>249</v>
      </c>
      <c r="E145" s="172">
        <v>0.6864467</v>
      </c>
      <c r="F145" s="172">
        <v>22.0552298</v>
      </c>
      <c r="G145" s="171" t="s">
        <v>398</v>
      </c>
      <c r="H145" s="171" t="s">
        <v>399</v>
      </c>
      <c r="I145" s="173" t="s">
        <v>400</v>
      </c>
      <c r="J145" s="173"/>
      <c r="K145" s="171" t="s">
        <v>401</v>
      </c>
      <c r="L145" s="171">
        <v>2016</v>
      </c>
      <c r="M145" s="171" t="s">
        <v>408</v>
      </c>
      <c r="N145" s="171" t="s">
        <v>403</v>
      </c>
      <c r="O145" s="181"/>
    </row>
    <row r="146" spans="1:15">
      <c r="A146" s="101">
        <v>137</v>
      </c>
      <c r="B146" s="168" t="s">
        <v>396</v>
      </c>
      <c r="C146" s="90" t="s">
        <v>433</v>
      </c>
      <c r="D146" s="90" t="s">
        <v>250</v>
      </c>
      <c r="E146" s="169">
        <v>0.6864616</v>
      </c>
      <c r="F146" s="169">
        <v>22.0552727</v>
      </c>
      <c r="G146" s="168" t="s">
        <v>398</v>
      </c>
      <c r="H146" s="168" t="s">
        <v>399</v>
      </c>
      <c r="I146" s="170" t="s">
        <v>400</v>
      </c>
      <c r="J146" s="170"/>
      <c r="K146" s="168" t="s">
        <v>401</v>
      </c>
      <c r="L146" s="168">
        <v>2016</v>
      </c>
      <c r="M146" s="168" t="s">
        <v>408</v>
      </c>
      <c r="N146" s="168" t="s">
        <v>403</v>
      </c>
      <c r="O146" s="181"/>
    </row>
    <row r="147" spans="1:15">
      <c r="A147" s="100">
        <v>138</v>
      </c>
      <c r="B147" s="171" t="s">
        <v>396</v>
      </c>
      <c r="C147" s="95" t="s">
        <v>433</v>
      </c>
      <c r="D147" s="95" t="s">
        <v>252</v>
      </c>
      <c r="E147" s="172">
        <v>0.6864541</v>
      </c>
      <c r="F147" s="172">
        <v>22.0548653</v>
      </c>
      <c r="G147" s="171" t="s">
        <v>398</v>
      </c>
      <c r="H147" s="171" t="s">
        <v>399</v>
      </c>
      <c r="I147" s="173" t="s">
        <v>400</v>
      </c>
      <c r="J147" s="173"/>
      <c r="K147" s="171" t="s">
        <v>401</v>
      </c>
      <c r="L147" s="171">
        <v>2016</v>
      </c>
      <c r="M147" s="171" t="s">
        <v>402</v>
      </c>
      <c r="N147" s="171" t="s">
        <v>403</v>
      </c>
      <c r="O147" s="181"/>
    </row>
    <row r="148" spans="1:15">
      <c r="A148" s="101">
        <v>139</v>
      </c>
      <c r="B148" s="168" t="s">
        <v>396</v>
      </c>
      <c r="C148" s="90" t="s">
        <v>433</v>
      </c>
      <c r="D148" s="90" t="s">
        <v>253</v>
      </c>
      <c r="E148" s="169">
        <v>0.6862843</v>
      </c>
      <c r="F148" s="169">
        <v>22.0552252</v>
      </c>
      <c r="G148" s="168" t="s">
        <v>398</v>
      </c>
      <c r="H148" s="168" t="s">
        <v>399</v>
      </c>
      <c r="I148" s="170" t="s">
        <v>400</v>
      </c>
      <c r="J148" s="170"/>
      <c r="K148" s="168" t="s">
        <v>401</v>
      </c>
      <c r="L148" s="168">
        <v>2016</v>
      </c>
      <c r="M148" s="168" t="s">
        <v>408</v>
      </c>
      <c r="N148" s="168" t="s">
        <v>403</v>
      </c>
      <c r="O148" s="181"/>
    </row>
    <row r="149" spans="1:15">
      <c r="A149" s="100">
        <v>140</v>
      </c>
      <c r="B149" s="171" t="s">
        <v>396</v>
      </c>
      <c r="C149" s="95" t="s">
        <v>433</v>
      </c>
      <c r="D149" s="95" t="s">
        <v>254</v>
      </c>
      <c r="E149" s="172">
        <v>0.6870023</v>
      </c>
      <c r="F149" s="172">
        <v>22.0549463</v>
      </c>
      <c r="G149" s="171" t="s">
        <v>398</v>
      </c>
      <c r="H149" s="171" t="s">
        <v>399</v>
      </c>
      <c r="I149" s="173" t="s">
        <v>400</v>
      </c>
      <c r="J149" s="173"/>
      <c r="K149" s="173" t="s">
        <v>404</v>
      </c>
      <c r="L149" s="174">
        <v>43428</v>
      </c>
      <c r="M149" s="171" t="s">
        <v>402</v>
      </c>
      <c r="N149" s="171" t="s">
        <v>403</v>
      </c>
      <c r="O149" s="181"/>
    </row>
    <row r="150" spans="1:15">
      <c r="A150" s="101">
        <v>141</v>
      </c>
      <c r="B150" s="168" t="s">
        <v>396</v>
      </c>
      <c r="C150" s="90" t="s">
        <v>433</v>
      </c>
      <c r="D150" s="90" t="s">
        <v>255</v>
      </c>
      <c r="E150" s="169">
        <v>0.981403</v>
      </c>
      <c r="F150" s="169">
        <v>22.0001921</v>
      </c>
      <c r="G150" s="168" t="s">
        <v>398</v>
      </c>
      <c r="H150" s="168" t="s">
        <v>399</v>
      </c>
      <c r="I150" s="170" t="s">
        <v>400</v>
      </c>
      <c r="J150" s="170"/>
      <c r="K150" s="168" t="s">
        <v>401</v>
      </c>
      <c r="L150" s="168">
        <v>2016</v>
      </c>
      <c r="M150" s="168" t="s">
        <v>402</v>
      </c>
      <c r="N150" s="168" t="s">
        <v>403</v>
      </c>
      <c r="O150" s="181"/>
    </row>
    <row r="151" spans="1:15">
      <c r="A151" s="100">
        <v>142</v>
      </c>
      <c r="B151" s="171" t="s">
        <v>396</v>
      </c>
      <c r="C151" s="95" t="s">
        <v>433</v>
      </c>
      <c r="D151" s="95" t="s">
        <v>256</v>
      </c>
      <c r="E151" s="172">
        <v>1.0279761</v>
      </c>
      <c r="F151" s="172">
        <v>22.0984726</v>
      </c>
      <c r="G151" s="171" t="s">
        <v>398</v>
      </c>
      <c r="H151" s="171" t="s">
        <v>399</v>
      </c>
      <c r="I151" s="173" t="s">
        <v>400</v>
      </c>
      <c r="J151" s="173"/>
      <c r="K151" s="173" t="s">
        <v>404</v>
      </c>
      <c r="L151" s="174">
        <v>43337</v>
      </c>
      <c r="M151" s="171" t="s">
        <v>402</v>
      </c>
      <c r="N151" s="171" t="s">
        <v>403</v>
      </c>
      <c r="O151" s="181"/>
    </row>
    <row r="152" spans="1:15">
      <c r="A152" s="101">
        <v>143</v>
      </c>
      <c r="B152" s="168" t="s">
        <v>396</v>
      </c>
      <c r="C152" s="90" t="s">
        <v>433</v>
      </c>
      <c r="D152" s="90" t="s">
        <v>257</v>
      </c>
      <c r="E152" s="169">
        <v>1.4591252</v>
      </c>
      <c r="F152" s="169">
        <v>22.4067836</v>
      </c>
      <c r="G152" s="168" t="s">
        <v>398</v>
      </c>
      <c r="H152" s="168" t="s">
        <v>399</v>
      </c>
      <c r="I152" s="170" t="s">
        <v>400</v>
      </c>
      <c r="J152" s="170"/>
      <c r="K152" s="170" t="s">
        <v>401</v>
      </c>
      <c r="L152" s="168"/>
      <c r="M152" s="168" t="s">
        <v>402</v>
      </c>
      <c r="N152" s="168" t="s">
        <v>403</v>
      </c>
      <c r="O152" s="181"/>
    </row>
    <row r="153" spans="1:15">
      <c r="A153" s="100">
        <v>144</v>
      </c>
      <c r="B153" s="171" t="s">
        <v>396</v>
      </c>
      <c r="C153" s="95" t="s">
        <v>433</v>
      </c>
      <c r="D153" s="95" t="s">
        <v>258</v>
      </c>
      <c r="E153" s="172">
        <v>0.9651364</v>
      </c>
      <c r="F153" s="172">
        <v>22.2158259</v>
      </c>
      <c r="G153" s="171" t="s">
        <v>398</v>
      </c>
      <c r="H153" s="171" t="s">
        <v>399</v>
      </c>
      <c r="I153" s="173" t="s">
        <v>400</v>
      </c>
      <c r="J153" s="173"/>
      <c r="K153" s="173" t="s">
        <v>401</v>
      </c>
      <c r="L153" s="171"/>
      <c r="M153" s="171" t="s">
        <v>402</v>
      </c>
      <c r="N153" s="171" t="s">
        <v>403</v>
      </c>
      <c r="O153" s="181"/>
    </row>
    <row r="154" spans="1:15">
      <c r="A154" s="101">
        <v>145</v>
      </c>
      <c r="B154" s="168" t="s">
        <v>396</v>
      </c>
      <c r="C154" s="90" t="s">
        <v>433</v>
      </c>
      <c r="D154" s="90" t="s">
        <v>259</v>
      </c>
      <c r="E154" s="169">
        <v>0.6587541</v>
      </c>
      <c r="F154" s="169">
        <v>22.2839535</v>
      </c>
      <c r="G154" s="168" t="s">
        <v>398</v>
      </c>
      <c r="H154" s="168" t="s">
        <v>399</v>
      </c>
      <c r="I154" s="170" t="s">
        <v>400</v>
      </c>
      <c r="J154" s="170"/>
      <c r="K154" s="170" t="s">
        <v>415</v>
      </c>
      <c r="L154" s="168">
        <v>2019</v>
      </c>
      <c r="M154" s="168" t="s">
        <v>402</v>
      </c>
      <c r="N154" s="168" t="s">
        <v>403</v>
      </c>
      <c r="O154" s="181"/>
    </row>
    <row r="155" spans="1:15">
      <c r="A155" s="100"/>
      <c r="B155" s="96"/>
      <c r="C155" s="95"/>
      <c r="D155" s="95"/>
      <c r="E155" s="96"/>
      <c r="F155" s="96"/>
      <c r="G155" s="96"/>
      <c r="H155" s="96"/>
      <c r="I155" s="96"/>
      <c r="J155" s="96"/>
      <c r="K155" s="96"/>
      <c r="L155" s="96"/>
      <c r="M155" s="96"/>
      <c r="N155" s="96"/>
      <c r="O155" s="181"/>
    </row>
    <row r="156" spans="1:15">
      <c r="A156" s="101">
        <v>146</v>
      </c>
      <c r="B156" s="168" t="s">
        <v>396</v>
      </c>
      <c r="C156" s="90" t="s">
        <v>435</v>
      </c>
      <c r="D156" s="90" t="s">
        <v>262</v>
      </c>
      <c r="E156" s="169">
        <v>0.1815517</v>
      </c>
      <c r="F156" s="169">
        <v>21.4820167</v>
      </c>
      <c r="G156" s="168" t="s">
        <v>398</v>
      </c>
      <c r="H156" s="168" t="s">
        <v>399</v>
      </c>
      <c r="I156" s="170" t="s">
        <v>400</v>
      </c>
      <c r="J156" s="170"/>
      <c r="K156" s="168" t="s">
        <v>401</v>
      </c>
      <c r="L156" s="168">
        <v>2016</v>
      </c>
      <c r="M156" s="168" t="s">
        <v>408</v>
      </c>
      <c r="N156" s="168" t="s">
        <v>403</v>
      </c>
      <c r="O156" s="136"/>
    </row>
    <row r="157" spans="1:15">
      <c r="A157" s="100">
        <v>147</v>
      </c>
      <c r="B157" s="171" t="s">
        <v>396</v>
      </c>
      <c r="C157" s="95" t="s">
        <v>435</v>
      </c>
      <c r="D157" s="95" t="s">
        <v>263</v>
      </c>
      <c r="E157" s="172">
        <v>0.2092808</v>
      </c>
      <c r="F157" s="172">
        <v>21.3956311</v>
      </c>
      <c r="G157" s="171" t="s">
        <v>398</v>
      </c>
      <c r="H157" s="171" t="s">
        <v>399</v>
      </c>
      <c r="I157" s="173" t="s">
        <v>400</v>
      </c>
      <c r="J157" s="173"/>
      <c r="K157" s="171" t="s">
        <v>401</v>
      </c>
      <c r="L157" s="171">
        <v>2016</v>
      </c>
      <c r="M157" s="171" t="s">
        <v>402</v>
      </c>
      <c r="N157" s="171" t="s">
        <v>403</v>
      </c>
      <c r="O157" s="181"/>
    </row>
    <row r="158" spans="1:15">
      <c r="A158" s="101">
        <v>148</v>
      </c>
      <c r="B158" s="168" t="s">
        <v>396</v>
      </c>
      <c r="C158" s="90" t="s">
        <v>435</v>
      </c>
      <c r="D158" s="90" t="s">
        <v>264</v>
      </c>
      <c r="E158" s="169">
        <v>0.1815088</v>
      </c>
      <c r="F158" s="169">
        <v>21.4819245</v>
      </c>
      <c r="G158" s="168" t="s">
        <v>398</v>
      </c>
      <c r="H158" s="168" t="s">
        <v>399</v>
      </c>
      <c r="I158" s="170" t="s">
        <v>400</v>
      </c>
      <c r="J158" s="170"/>
      <c r="K158" s="168" t="s">
        <v>401</v>
      </c>
      <c r="L158" s="168">
        <v>2016</v>
      </c>
      <c r="M158" s="168" t="s">
        <v>402</v>
      </c>
      <c r="N158" s="168" t="s">
        <v>403</v>
      </c>
      <c r="O158" s="181"/>
    </row>
    <row r="159" spans="1:15">
      <c r="A159" s="100">
        <v>149</v>
      </c>
      <c r="B159" s="171" t="s">
        <v>396</v>
      </c>
      <c r="C159" s="95" t="s">
        <v>435</v>
      </c>
      <c r="D159" s="95" t="s">
        <v>265</v>
      </c>
      <c r="E159" s="172">
        <v>0.2708315</v>
      </c>
      <c r="F159" s="172">
        <v>21.2694863</v>
      </c>
      <c r="G159" s="171" t="s">
        <v>398</v>
      </c>
      <c r="H159" s="171" t="s">
        <v>399</v>
      </c>
      <c r="I159" s="173" t="s">
        <v>400</v>
      </c>
      <c r="J159" s="173"/>
      <c r="K159" s="171" t="s">
        <v>401</v>
      </c>
      <c r="L159" s="171">
        <v>2016</v>
      </c>
      <c r="M159" s="171" t="s">
        <v>402</v>
      </c>
      <c r="N159" s="171" t="s">
        <v>403</v>
      </c>
      <c r="O159" s="181"/>
    </row>
    <row r="160" spans="1:15">
      <c r="A160" s="101">
        <v>150</v>
      </c>
      <c r="B160" s="168" t="s">
        <v>396</v>
      </c>
      <c r="C160" s="90" t="s">
        <v>435</v>
      </c>
      <c r="D160" s="90" t="s">
        <v>266</v>
      </c>
      <c r="E160" s="169">
        <v>0.1815705</v>
      </c>
      <c r="F160" s="169">
        <v>21.4820097</v>
      </c>
      <c r="G160" s="168" t="s">
        <v>398</v>
      </c>
      <c r="H160" s="168" t="s">
        <v>399</v>
      </c>
      <c r="I160" s="170" t="s">
        <v>400</v>
      </c>
      <c r="J160" s="170"/>
      <c r="K160" s="168" t="s">
        <v>401</v>
      </c>
      <c r="L160" s="168">
        <v>2016</v>
      </c>
      <c r="M160" s="168" t="s">
        <v>402</v>
      </c>
      <c r="N160" s="168" t="s">
        <v>403</v>
      </c>
      <c r="O160" s="181"/>
    </row>
    <row r="161" spans="1:15">
      <c r="A161" s="100">
        <v>151</v>
      </c>
      <c r="B161" s="171" t="s">
        <v>396</v>
      </c>
      <c r="C161" s="95" t="s">
        <v>435</v>
      </c>
      <c r="D161" s="95" t="s">
        <v>267</v>
      </c>
      <c r="E161" s="172">
        <v>0.1458733</v>
      </c>
      <c r="F161" s="172">
        <v>21.6887028</v>
      </c>
      <c r="G161" s="171" t="s">
        <v>398</v>
      </c>
      <c r="H161" s="171" t="s">
        <v>399</v>
      </c>
      <c r="I161" s="173" t="s">
        <v>400</v>
      </c>
      <c r="J161" s="173"/>
      <c r="K161" s="173" t="s">
        <v>404</v>
      </c>
      <c r="L161" s="174">
        <v>43323</v>
      </c>
      <c r="M161" s="171" t="s">
        <v>402</v>
      </c>
      <c r="N161" s="171" t="s">
        <v>403</v>
      </c>
      <c r="O161" s="181"/>
    </row>
    <row r="162" spans="1:15">
      <c r="A162" s="101">
        <v>152</v>
      </c>
      <c r="B162" s="168" t="s">
        <v>396</v>
      </c>
      <c r="C162" s="90" t="s">
        <v>435</v>
      </c>
      <c r="D162" s="90" t="s">
        <v>268</v>
      </c>
      <c r="E162" s="169">
        <v>0.1815088</v>
      </c>
      <c r="F162" s="169">
        <v>21.4819245</v>
      </c>
      <c r="G162" s="168" t="s">
        <v>398</v>
      </c>
      <c r="H162" s="168" t="s">
        <v>399</v>
      </c>
      <c r="I162" s="170" t="s">
        <v>400</v>
      </c>
      <c r="J162" s="170"/>
      <c r="K162" s="168" t="s">
        <v>401</v>
      </c>
      <c r="L162" s="168">
        <v>2016</v>
      </c>
      <c r="M162" s="168" t="s">
        <v>408</v>
      </c>
      <c r="N162" s="168" t="s">
        <v>403</v>
      </c>
      <c r="O162" s="181"/>
    </row>
    <row r="163" spans="1:15">
      <c r="A163" s="100">
        <v>153</v>
      </c>
      <c r="B163" s="171" t="s">
        <v>396</v>
      </c>
      <c r="C163" s="95" t="s">
        <v>435</v>
      </c>
      <c r="D163" s="95" t="s">
        <v>269</v>
      </c>
      <c r="E163" s="172">
        <v>0.1815417</v>
      </c>
      <c r="F163" s="172">
        <v>21.482005</v>
      </c>
      <c r="G163" s="171" t="s">
        <v>398</v>
      </c>
      <c r="H163" s="171" t="s">
        <v>399</v>
      </c>
      <c r="I163" s="173" t="s">
        <v>400</v>
      </c>
      <c r="J163" s="173"/>
      <c r="K163" s="171" t="s">
        <v>401</v>
      </c>
      <c r="L163" s="171">
        <v>2016</v>
      </c>
      <c r="M163" s="171" t="s">
        <v>402</v>
      </c>
      <c r="N163" s="171" t="s">
        <v>403</v>
      </c>
      <c r="O163" s="181"/>
    </row>
    <row r="164" spans="1:15">
      <c r="A164" s="101">
        <v>154</v>
      </c>
      <c r="B164" s="168" t="s">
        <v>396</v>
      </c>
      <c r="C164" s="90" t="s">
        <v>435</v>
      </c>
      <c r="D164" s="90" t="s">
        <v>271</v>
      </c>
      <c r="E164" s="169">
        <v>0.2095718</v>
      </c>
      <c r="F164" s="169">
        <v>21.395554</v>
      </c>
      <c r="G164" s="168" t="s">
        <v>398</v>
      </c>
      <c r="H164" s="168" t="s">
        <v>399</v>
      </c>
      <c r="I164" s="170" t="s">
        <v>400</v>
      </c>
      <c r="J164" s="170"/>
      <c r="K164" s="168" t="s">
        <v>401</v>
      </c>
      <c r="L164" s="168">
        <v>2016</v>
      </c>
      <c r="M164" s="168" t="s">
        <v>402</v>
      </c>
      <c r="N164" s="168" t="s">
        <v>403</v>
      </c>
      <c r="O164" s="181"/>
    </row>
    <row r="165" spans="1:15">
      <c r="A165" s="100">
        <v>155</v>
      </c>
      <c r="B165" s="171" t="s">
        <v>396</v>
      </c>
      <c r="C165" s="95" t="s">
        <v>435</v>
      </c>
      <c r="D165" s="95" t="s">
        <v>245</v>
      </c>
      <c r="E165" s="172">
        <v>0.3337188</v>
      </c>
      <c r="F165" s="172">
        <v>21.8915613</v>
      </c>
      <c r="G165" s="171" t="s">
        <v>398</v>
      </c>
      <c r="H165" s="171" t="s">
        <v>399</v>
      </c>
      <c r="I165" s="173" t="s">
        <v>400</v>
      </c>
      <c r="J165" s="173"/>
      <c r="K165" s="171" t="s">
        <v>401</v>
      </c>
      <c r="L165" s="171">
        <v>2016</v>
      </c>
      <c r="M165" s="171" t="s">
        <v>402</v>
      </c>
      <c r="N165" s="171" t="s">
        <v>403</v>
      </c>
      <c r="O165" s="181"/>
    </row>
    <row r="166" spans="1:15">
      <c r="A166" s="101">
        <v>156</v>
      </c>
      <c r="B166" s="168" t="s">
        <v>396</v>
      </c>
      <c r="C166" s="90" t="s">
        <v>435</v>
      </c>
      <c r="D166" s="90" t="s">
        <v>273</v>
      </c>
      <c r="E166" s="169">
        <v>0.2093995</v>
      </c>
      <c r="F166" s="169">
        <v>21.3956455</v>
      </c>
      <c r="G166" s="168" t="s">
        <v>398</v>
      </c>
      <c r="H166" s="168" t="s">
        <v>399</v>
      </c>
      <c r="I166" s="170" t="s">
        <v>400</v>
      </c>
      <c r="J166" s="170"/>
      <c r="K166" s="168" t="s">
        <v>401</v>
      </c>
      <c r="L166" s="168">
        <v>2016</v>
      </c>
      <c r="M166" s="168" t="s">
        <v>402</v>
      </c>
      <c r="N166" s="168" t="s">
        <v>403</v>
      </c>
      <c r="O166" s="181"/>
    </row>
    <row r="167" spans="1:15">
      <c r="A167" s="100">
        <v>157</v>
      </c>
      <c r="B167" s="171" t="s">
        <v>396</v>
      </c>
      <c r="C167" s="95" t="s">
        <v>435</v>
      </c>
      <c r="D167" s="95" t="s">
        <v>274</v>
      </c>
      <c r="E167" s="172">
        <v>0.2095082</v>
      </c>
      <c r="F167" s="172">
        <v>21.3957571</v>
      </c>
      <c r="G167" s="171" t="s">
        <v>398</v>
      </c>
      <c r="H167" s="171" t="s">
        <v>399</v>
      </c>
      <c r="I167" s="173" t="s">
        <v>400</v>
      </c>
      <c r="J167" s="175" t="s">
        <v>436</v>
      </c>
      <c r="K167" s="173" t="s">
        <v>404</v>
      </c>
      <c r="L167" s="174">
        <v>43352</v>
      </c>
      <c r="M167" s="171" t="s">
        <v>408</v>
      </c>
      <c r="N167" s="171" t="s">
        <v>403</v>
      </c>
      <c r="O167" s="181"/>
    </row>
    <row r="168" spans="1:15">
      <c r="A168" s="101">
        <v>158</v>
      </c>
      <c r="B168" s="168" t="s">
        <v>396</v>
      </c>
      <c r="C168" s="90" t="s">
        <v>435</v>
      </c>
      <c r="D168" s="90" t="s">
        <v>275</v>
      </c>
      <c r="E168" s="169">
        <v>0.2095082</v>
      </c>
      <c r="F168" s="169">
        <v>21.3957571</v>
      </c>
      <c r="G168" s="168" t="s">
        <v>398</v>
      </c>
      <c r="H168" s="168" t="s">
        <v>399</v>
      </c>
      <c r="I168" s="170" t="s">
        <v>400</v>
      </c>
      <c r="J168" s="170"/>
      <c r="K168" s="170" t="s">
        <v>404</v>
      </c>
      <c r="L168" s="176">
        <v>43326</v>
      </c>
      <c r="M168" s="168" t="s">
        <v>402</v>
      </c>
      <c r="N168" s="168" t="s">
        <v>403</v>
      </c>
      <c r="O168" s="181"/>
    </row>
    <row r="169" spans="1:15">
      <c r="A169" s="100">
        <v>159</v>
      </c>
      <c r="B169" s="171" t="s">
        <v>396</v>
      </c>
      <c r="C169" s="95" t="s">
        <v>435</v>
      </c>
      <c r="D169" s="95" t="s">
        <v>276</v>
      </c>
      <c r="E169" s="172">
        <v>0.145839</v>
      </c>
      <c r="F169" s="172">
        <v>21.6887486</v>
      </c>
      <c r="G169" s="171" t="s">
        <v>398</v>
      </c>
      <c r="H169" s="171" t="s">
        <v>399</v>
      </c>
      <c r="I169" s="173" t="s">
        <v>400</v>
      </c>
      <c r="J169" s="173"/>
      <c r="K169" s="173" t="s">
        <v>404</v>
      </c>
      <c r="L169" s="174">
        <v>43329</v>
      </c>
      <c r="M169" s="171" t="s">
        <v>402</v>
      </c>
      <c r="N169" s="171" t="s">
        <v>403</v>
      </c>
      <c r="O169" s="181"/>
    </row>
    <row r="170" spans="1:15">
      <c r="A170" s="101">
        <v>160</v>
      </c>
      <c r="B170" s="168" t="s">
        <v>396</v>
      </c>
      <c r="C170" s="90" t="s">
        <v>435</v>
      </c>
      <c r="D170" s="90" t="s">
        <v>277</v>
      </c>
      <c r="E170" s="169">
        <v>0.181535</v>
      </c>
      <c r="F170" s="169">
        <v>21.48202</v>
      </c>
      <c r="G170" s="168" t="s">
        <v>398</v>
      </c>
      <c r="H170" s="168" t="s">
        <v>399</v>
      </c>
      <c r="I170" s="170" t="s">
        <v>400</v>
      </c>
      <c r="J170" s="170"/>
      <c r="K170" s="168" t="s">
        <v>401</v>
      </c>
      <c r="L170" s="168">
        <v>2016</v>
      </c>
      <c r="M170" s="168" t="s">
        <v>402</v>
      </c>
      <c r="N170" s="168" t="s">
        <v>403</v>
      </c>
      <c r="O170" s="181"/>
    </row>
    <row r="171" spans="1:15">
      <c r="A171" s="100"/>
      <c r="B171" s="96"/>
      <c r="C171" s="95"/>
      <c r="D171" s="95"/>
      <c r="E171" s="96"/>
      <c r="F171" s="96"/>
      <c r="G171" s="96"/>
      <c r="H171" s="96"/>
      <c r="I171" s="96"/>
      <c r="J171" s="96"/>
      <c r="K171" s="96"/>
      <c r="L171" s="96"/>
      <c r="M171" s="96"/>
      <c r="N171" s="96"/>
      <c r="O171" s="181"/>
    </row>
    <row r="172" spans="1:15">
      <c r="A172" s="101">
        <v>161</v>
      </c>
      <c r="B172" s="168" t="s">
        <v>396</v>
      </c>
      <c r="C172" s="90" t="s">
        <v>437</v>
      </c>
      <c r="D172" s="90" t="s">
        <v>279</v>
      </c>
      <c r="E172" s="169">
        <v>-0.8036157</v>
      </c>
      <c r="F172" s="169">
        <v>23.0164432</v>
      </c>
      <c r="G172" s="168" t="s">
        <v>398</v>
      </c>
      <c r="H172" s="168" t="s">
        <v>399</v>
      </c>
      <c r="I172" s="170" t="s">
        <v>400</v>
      </c>
      <c r="J172" s="170"/>
      <c r="K172" s="168" t="s">
        <v>401</v>
      </c>
      <c r="L172" s="168">
        <v>2016</v>
      </c>
      <c r="M172" s="168" t="s">
        <v>402</v>
      </c>
      <c r="N172" s="168" t="s">
        <v>403</v>
      </c>
      <c r="O172" s="136"/>
    </row>
    <row r="173" spans="1:15">
      <c r="A173" s="100">
        <v>162</v>
      </c>
      <c r="B173" s="171" t="s">
        <v>396</v>
      </c>
      <c r="C173" s="95" t="s">
        <v>437</v>
      </c>
      <c r="D173" s="95" t="s">
        <v>281</v>
      </c>
      <c r="E173" s="172">
        <v>-0.7798888</v>
      </c>
      <c r="F173" s="172">
        <v>22.8071448</v>
      </c>
      <c r="G173" s="171" t="s">
        <v>398</v>
      </c>
      <c r="H173" s="171" t="s">
        <v>399</v>
      </c>
      <c r="I173" s="173" t="s">
        <v>400</v>
      </c>
      <c r="J173" s="173"/>
      <c r="K173" s="171" t="s">
        <v>401</v>
      </c>
      <c r="L173" s="171">
        <v>2016</v>
      </c>
      <c r="M173" s="171" t="s">
        <v>402</v>
      </c>
      <c r="N173" s="171" t="s">
        <v>403</v>
      </c>
      <c r="O173" s="181"/>
    </row>
    <row r="174" spans="1:15">
      <c r="A174" s="101">
        <v>163</v>
      </c>
      <c r="B174" s="168" t="s">
        <v>396</v>
      </c>
      <c r="C174" s="90" t="s">
        <v>437</v>
      </c>
      <c r="D174" s="90" t="s">
        <v>282</v>
      </c>
      <c r="E174" s="169">
        <v>-0.7750467</v>
      </c>
      <c r="F174" s="169">
        <v>22.75154</v>
      </c>
      <c r="G174" s="168" t="s">
        <v>398</v>
      </c>
      <c r="H174" s="168" t="s">
        <v>399</v>
      </c>
      <c r="I174" s="168" t="s">
        <v>400</v>
      </c>
      <c r="J174" s="168"/>
      <c r="K174" s="168" t="s">
        <v>413</v>
      </c>
      <c r="L174" s="168">
        <v>2023</v>
      </c>
      <c r="M174" s="168" t="s">
        <v>402</v>
      </c>
      <c r="N174" s="168" t="s">
        <v>403</v>
      </c>
      <c r="O174" s="181"/>
    </row>
    <row r="175" spans="1:15">
      <c r="A175" s="100">
        <v>164</v>
      </c>
      <c r="B175" s="171" t="s">
        <v>396</v>
      </c>
      <c r="C175" s="95" t="s">
        <v>437</v>
      </c>
      <c r="D175" s="95" t="s">
        <v>283</v>
      </c>
      <c r="E175" s="172">
        <v>-0.9601041</v>
      </c>
      <c r="F175" s="172">
        <v>22.6897529</v>
      </c>
      <c r="G175" s="171" t="s">
        <v>398</v>
      </c>
      <c r="H175" s="171" t="s">
        <v>399</v>
      </c>
      <c r="I175" s="173" t="s">
        <v>400</v>
      </c>
      <c r="J175" s="173"/>
      <c r="K175" s="173" t="s">
        <v>404</v>
      </c>
      <c r="L175" s="174">
        <v>43339</v>
      </c>
      <c r="M175" s="171" t="s">
        <v>402</v>
      </c>
      <c r="N175" s="171" t="s">
        <v>403</v>
      </c>
      <c r="O175" s="181"/>
    </row>
    <row r="176" spans="1:15">
      <c r="A176" s="101">
        <v>165</v>
      </c>
      <c r="B176" s="168" t="s">
        <v>396</v>
      </c>
      <c r="C176" s="90" t="s">
        <v>437</v>
      </c>
      <c r="D176" s="90" t="s">
        <v>284</v>
      </c>
      <c r="E176" s="169">
        <v>-0.90204</v>
      </c>
      <c r="F176" s="169">
        <v>22.826335</v>
      </c>
      <c r="G176" s="168" t="s">
        <v>398</v>
      </c>
      <c r="H176" s="168" t="s">
        <v>399</v>
      </c>
      <c r="I176" s="170" t="s">
        <v>400</v>
      </c>
      <c r="J176" s="170"/>
      <c r="K176" s="170" t="s">
        <v>415</v>
      </c>
      <c r="L176" s="168">
        <v>2019</v>
      </c>
      <c r="M176" s="168" t="s">
        <v>402</v>
      </c>
      <c r="N176" s="168" t="s">
        <v>403</v>
      </c>
      <c r="O176" s="181"/>
    </row>
    <row r="177" spans="1:15">
      <c r="A177" s="100">
        <v>166</v>
      </c>
      <c r="B177" s="171" t="s">
        <v>396</v>
      </c>
      <c r="C177" s="95" t="s">
        <v>437</v>
      </c>
      <c r="D177" s="95" t="s">
        <v>286</v>
      </c>
      <c r="E177" s="172">
        <v>-0.7530937</v>
      </c>
      <c r="F177" s="172">
        <v>22.6994074</v>
      </c>
      <c r="G177" s="171" t="s">
        <v>398</v>
      </c>
      <c r="H177" s="171" t="s">
        <v>399</v>
      </c>
      <c r="I177" s="171" t="s">
        <v>400</v>
      </c>
      <c r="J177" s="175"/>
      <c r="K177" s="171" t="s">
        <v>413</v>
      </c>
      <c r="L177" s="175">
        <v>2023</v>
      </c>
      <c r="M177" s="171" t="s">
        <v>402</v>
      </c>
      <c r="N177" s="171" t="s">
        <v>403</v>
      </c>
      <c r="O177" s="181"/>
    </row>
    <row r="178" spans="1:15">
      <c r="A178" s="101">
        <v>167</v>
      </c>
      <c r="B178" s="168" t="s">
        <v>396</v>
      </c>
      <c r="C178" s="90" t="s">
        <v>437</v>
      </c>
      <c r="D178" s="90" t="s">
        <v>288</v>
      </c>
      <c r="E178" s="169">
        <v>-0.5687937</v>
      </c>
      <c r="F178" s="169">
        <v>22.9305356</v>
      </c>
      <c r="G178" s="168" t="s">
        <v>398</v>
      </c>
      <c r="H178" s="168" t="s">
        <v>399</v>
      </c>
      <c r="I178" s="170" t="s">
        <v>400</v>
      </c>
      <c r="J178" s="170"/>
      <c r="K178" s="168" t="s">
        <v>401</v>
      </c>
      <c r="L178" s="168">
        <v>2016</v>
      </c>
      <c r="M178" s="168" t="s">
        <v>402</v>
      </c>
      <c r="N178" s="168" t="s">
        <v>403</v>
      </c>
      <c r="O178" s="181"/>
    </row>
    <row r="179" spans="1:15">
      <c r="A179" s="100">
        <v>168</v>
      </c>
      <c r="B179" s="171" t="s">
        <v>396</v>
      </c>
      <c r="C179" s="95" t="s">
        <v>437</v>
      </c>
      <c r="D179" s="95" t="s">
        <v>289</v>
      </c>
      <c r="E179" s="172">
        <v>-0.64597</v>
      </c>
      <c r="F179" s="172">
        <v>22.5991191</v>
      </c>
      <c r="G179" s="171" t="s">
        <v>398</v>
      </c>
      <c r="H179" s="171" t="s">
        <v>399</v>
      </c>
      <c r="I179" s="173" t="s">
        <v>400</v>
      </c>
      <c r="J179" s="173"/>
      <c r="K179" s="171" t="s">
        <v>401</v>
      </c>
      <c r="L179" s="171">
        <v>2016</v>
      </c>
      <c r="M179" s="171" t="s">
        <v>402</v>
      </c>
      <c r="N179" s="171" t="s">
        <v>403</v>
      </c>
      <c r="O179" s="181"/>
    </row>
    <row r="180" spans="1:15">
      <c r="A180" s="101">
        <v>169</v>
      </c>
      <c r="B180" s="168" t="s">
        <v>396</v>
      </c>
      <c r="C180" s="90" t="s">
        <v>437</v>
      </c>
      <c r="D180" s="90" t="s">
        <v>290</v>
      </c>
      <c r="E180" s="169">
        <v>-0.9510517</v>
      </c>
      <c r="F180" s="169">
        <v>22.9111067</v>
      </c>
      <c r="G180" s="168" t="s">
        <v>398</v>
      </c>
      <c r="H180" s="168" t="s">
        <v>399</v>
      </c>
      <c r="I180" s="168" t="s">
        <v>400</v>
      </c>
      <c r="J180" s="180"/>
      <c r="K180" s="168" t="s">
        <v>413</v>
      </c>
      <c r="L180" s="180">
        <v>2023</v>
      </c>
      <c r="M180" s="168" t="s">
        <v>402</v>
      </c>
      <c r="N180" s="168" t="s">
        <v>403</v>
      </c>
      <c r="O180" s="181"/>
    </row>
    <row r="181" spans="1:15">
      <c r="A181" s="100">
        <v>170</v>
      </c>
      <c r="B181" s="171" t="s">
        <v>396</v>
      </c>
      <c r="C181" s="95" t="s">
        <v>437</v>
      </c>
      <c r="D181" s="95" t="s">
        <v>291</v>
      </c>
      <c r="E181" s="172">
        <v>-0.6138167</v>
      </c>
      <c r="F181" s="172">
        <v>22.6447067</v>
      </c>
      <c r="G181" s="171" t="s">
        <v>398</v>
      </c>
      <c r="H181" s="171" t="s">
        <v>399</v>
      </c>
      <c r="I181" s="171" t="s">
        <v>400</v>
      </c>
      <c r="J181" s="175"/>
      <c r="K181" s="171" t="s">
        <v>413</v>
      </c>
      <c r="L181" s="175">
        <v>2023</v>
      </c>
      <c r="M181" s="171" t="s">
        <v>402</v>
      </c>
      <c r="N181" s="171" t="s">
        <v>403</v>
      </c>
      <c r="O181" s="181"/>
    </row>
    <row r="182" spans="1:15">
      <c r="A182" s="101">
        <v>171</v>
      </c>
      <c r="B182" s="168" t="s">
        <v>396</v>
      </c>
      <c r="C182" s="90" t="s">
        <v>437</v>
      </c>
      <c r="D182" s="90" t="s">
        <v>292</v>
      </c>
      <c r="E182" s="169">
        <v>-0.96083</v>
      </c>
      <c r="F182" s="169">
        <v>22.9710567</v>
      </c>
      <c r="G182" s="168" t="s">
        <v>398</v>
      </c>
      <c r="H182" s="168" t="s">
        <v>399</v>
      </c>
      <c r="I182" s="170" t="s">
        <v>400</v>
      </c>
      <c r="J182" s="170"/>
      <c r="K182" s="170" t="s">
        <v>415</v>
      </c>
      <c r="L182" s="168">
        <v>2019</v>
      </c>
      <c r="M182" s="168" t="s">
        <v>402</v>
      </c>
      <c r="N182" s="168" t="s">
        <v>403</v>
      </c>
      <c r="O182" s="181"/>
    </row>
    <row r="183" spans="1:15">
      <c r="A183" s="100">
        <v>172</v>
      </c>
      <c r="B183" s="171" t="s">
        <v>396</v>
      </c>
      <c r="C183" s="95" t="s">
        <v>437</v>
      </c>
      <c r="D183" s="95" t="s">
        <v>293</v>
      </c>
      <c r="E183" s="172">
        <v>-1.0288316</v>
      </c>
      <c r="F183" s="172">
        <v>22.7590823</v>
      </c>
      <c r="G183" s="171" t="s">
        <v>398</v>
      </c>
      <c r="H183" s="171" t="s">
        <v>399</v>
      </c>
      <c r="I183" s="173" t="s">
        <v>400</v>
      </c>
      <c r="J183" s="173"/>
      <c r="K183" s="171" t="s">
        <v>401</v>
      </c>
      <c r="L183" s="171">
        <v>2016</v>
      </c>
      <c r="M183" s="171" t="s">
        <v>402</v>
      </c>
      <c r="N183" s="171" t="s">
        <v>403</v>
      </c>
      <c r="O183" s="181"/>
    </row>
    <row r="184" spans="1:15">
      <c r="A184" s="101">
        <v>173</v>
      </c>
      <c r="B184" s="168" t="s">
        <v>396</v>
      </c>
      <c r="C184" s="90" t="s">
        <v>437</v>
      </c>
      <c r="D184" s="90" t="s">
        <v>294</v>
      </c>
      <c r="E184" s="169">
        <v>-0.1392487</v>
      </c>
      <c r="F184" s="169">
        <v>22.5664108</v>
      </c>
      <c r="G184" s="168" t="s">
        <v>398</v>
      </c>
      <c r="H184" s="168" t="s">
        <v>399</v>
      </c>
      <c r="I184" s="170" t="s">
        <v>400</v>
      </c>
      <c r="J184" s="170"/>
      <c r="K184" s="168" t="s">
        <v>401</v>
      </c>
      <c r="L184" s="168">
        <v>2016</v>
      </c>
      <c r="M184" s="168" t="s">
        <v>408</v>
      </c>
      <c r="N184" s="168" t="s">
        <v>403</v>
      </c>
      <c r="O184" s="181"/>
    </row>
    <row r="185" spans="1:15">
      <c r="A185" s="100">
        <v>174</v>
      </c>
      <c r="B185" s="171" t="s">
        <v>396</v>
      </c>
      <c r="C185" s="95" t="s">
        <v>437</v>
      </c>
      <c r="D185" s="95" t="s">
        <v>188</v>
      </c>
      <c r="E185" s="172">
        <v>-1.0444917</v>
      </c>
      <c r="F185" s="172">
        <v>22.902345</v>
      </c>
      <c r="G185" s="171" t="s">
        <v>398</v>
      </c>
      <c r="H185" s="171" t="s">
        <v>399</v>
      </c>
      <c r="I185" s="173" t="s">
        <v>400</v>
      </c>
      <c r="J185" s="173"/>
      <c r="K185" s="171" t="s">
        <v>401</v>
      </c>
      <c r="L185" s="171">
        <v>2016</v>
      </c>
      <c r="M185" s="171" t="s">
        <v>402</v>
      </c>
      <c r="N185" s="171" t="s">
        <v>403</v>
      </c>
      <c r="O185" s="181"/>
    </row>
    <row r="186" spans="1:15">
      <c r="A186" s="101">
        <v>175</v>
      </c>
      <c r="B186" s="168" t="s">
        <v>396</v>
      </c>
      <c r="C186" s="90" t="s">
        <v>437</v>
      </c>
      <c r="D186" s="90" t="s">
        <v>188</v>
      </c>
      <c r="E186" s="169">
        <v>-1.0445783</v>
      </c>
      <c r="F186" s="169">
        <v>22.9022933</v>
      </c>
      <c r="G186" s="168" t="s">
        <v>398</v>
      </c>
      <c r="H186" s="168" t="s">
        <v>399</v>
      </c>
      <c r="I186" s="170" t="s">
        <v>400</v>
      </c>
      <c r="J186" s="170"/>
      <c r="K186" s="168" t="s">
        <v>401</v>
      </c>
      <c r="L186" s="168">
        <v>2016</v>
      </c>
      <c r="M186" s="168" t="s">
        <v>402</v>
      </c>
      <c r="N186" s="168" t="s">
        <v>403</v>
      </c>
      <c r="O186" s="181"/>
    </row>
    <row r="187" spans="1:15">
      <c r="A187" s="100">
        <v>176</v>
      </c>
      <c r="B187" s="171" t="s">
        <v>396</v>
      </c>
      <c r="C187" s="95" t="s">
        <v>437</v>
      </c>
      <c r="D187" s="95" t="s">
        <v>296</v>
      </c>
      <c r="E187" s="172">
        <v>-0.7103058</v>
      </c>
      <c r="F187" s="172">
        <v>22.8905747</v>
      </c>
      <c r="G187" s="171" t="s">
        <v>398</v>
      </c>
      <c r="H187" s="171" t="s">
        <v>399</v>
      </c>
      <c r="I187" s="173" t="s">
        <v>400</v>
      </c>
      <c r="J187" s="173"/>
      <c r="K187" s="171"/>
      <c r="L187" s="171"/>
      <c r="M187" s="171" t="s">
        <v>402</v>
      </c>
      <c r="N187" s="171" t="s">
        <v>403</v>
      </c>
      <c r="O187" s="181"/>
    </row>
    <row r="188" spans="1:15">
      <c r="A188" s="101">
        <v>177</v>
      </c>
      <c r="B188" s="168" t="s">
        <v>396</v>
      </c>
      <c r="C188" s="90" t="s">
        <v>437</v>
      </c>
      <c r="D188" s="90" t="s">
        <v>297</v>
      </c>
      <c r="E188" s="169">
        <v>-0.4711383</v>
      </c>
      <c r="F188" s="169">
        <v>22.6309333</v>
      </c>
      <c r="G188" s="168" t="s">
        <v>398</v>
      </c>
      <c r="H188" s="168" t="s">
        <v>399</v>
      </c>
      <c r="I188" s="170" t="s">
        <v>400</v>
      </c>
      <c r="J188" s="170"/>
      <c r="K188" s="168" t="s">
        <v>401</v>
      </c>
      <c r="L188" s="168">
        <v>2016</v>
      </c>
      <c r="M188" s="168" t="s">
        <v>408</v>
      </c>
      <c r="N188" s="168" t="s">
        <v>403</v>
      </c>
      <c r="O188" s="181"/>
    </row>
    <row r="189" spans="1:15">
      <c r="A189" s="100">
        <v>178</v>
      </c>
      <c r="B189" s="171" t="s">
        <v>396</v>
      </c>
      <c r="C189" s="95" t="s">
        <v>437</v>
      </c>
      <c r="D189" s="95" t="s">
        <v>298</v>
      </c>
      <c r="E189" s="172">
        <v>-0.6157847</v>
      </c>
      <c r="F189" s="172">
        <v>23.0618791</v>
      </c>
      <c r="G189" s="171" t="s">
        <v>398</v>
      </c>
      <c r="H189" s="171" t="s">
        <v>399</v>
      </c>
      <c r="I189" s="173" t="s">
        <v>400</v>
      </c>
      <c r="J189" s="173"/>
      <c r="K189" s="171" t="s">
        <v>401</v>
      </c>
      <c r="L189" s="171">
        <v>2016</v>
      </c>
      <c r="M189" s="171" t="s">
        <v>402</v>
      </c>
      <c r="N189" s="171" t="s">
        <v>403</v>
      </c>
      <c r="O189" s="181"/>
    </row>
    <row r="190" spans="1:15">
      <c r="A190" s="101">
        <v>179</v>
      </c>
      <c r="B190" s="168" t="s">
        <v>396</v>
      </c>
      <c r="C190" s="90" t="s">
        <v>437</v>
      </c>
      <c r="D190" s="90" t="s">
        <v>299</v>
      </c>
      <c r="E190" s="169">
        <v>-0.4711383</v>
      </c>
      <c r="F190" s="169">
        <v>22.6309333</v>
      </c>
      <c r="G190" s="168" t="s">
        <v>398</v>
      </c>
      <c r="H190" s="168" t="s">
        <v>399</v>
      </c>
      <c r="I190" s="170" t="s">
        <v>400</v>
      </c>
      <c r="J190" s="170"/>
      <c r="K190" s="168" t="s">
        <v>401</v>
      </c>
      <c r="L190" s="168">
        <v>2016</v>
      </c>
      <c r="M190" s="168" t="s">
        <v>402</v>
      </c>
      <c r="N190" s="168" t="s">
        <v>403</v>
      </c>
      <c r="O190" s="181"/>
    </row>
    <row r="191" spans="1:15">
      <c r="A191" s="100">
        <v>180</v>
      </c>
      <c r="B191" s="171" t="s">
        <v>396</v>
      </c>
      <c r="C191" s="95" t="s">
        <v>437</v>
      </c>
      <c r="D191" s="95" t="s">
        <v>300</v>
      </c>
      <c r="E191" s="172">
        <v>-0.3391483</v>
      </c>
      <c r="F191" s="172">
        <v>22.5930833</v>
      </c>
      <c r="G191" s="171" t="s">
        <v>398</v>
      </c>
      <c r="H191" s="171" t="s">
        <v>399</v>
      </c>
      <c r="I191" s="173" t="s">
        <v>400</v>
      </c>
      <c r="J191" s="173"/>
      <c r="K191" s="173" t="s">
        <v>415</v>
      </c>
      <c r="L191" s="171">
        <v>2019</v>
      </c>
      <c r="M191" s="171" t="s">
        <v>402</v>
      </c>
      <c r="N191" s="171" t="s">
        <v>403</v>
      </c>
      <c r="O191" s="181"/>
    </row>
    <row r="192" spans="1:15">
      <c r="A192" s="101"/>
      <c r="B192" s="91"/>
      <c r="C192" s="90"/>
      <c r="D192" s="90"/>
      <c r="E192" s="91"/>
      <c r="F192" s="91"/>
      <c r="G192" s="91"/>
      <c r="H192" s="91"/>
      <c r="I192" s="91"/>
      <c r="J192" s="91"/>
      <c r="K192" s="91"/>
      <c r="L192" s="91"/>
      <c r="M192" s="91"/>
      <c r="N192" s="91"/>
      <c r="O192" s="181"/>
    </row>
    <row r="193" spans="1:15">
      <c r="A193" s="100">
        <v>191</v>
      </c>
      <c r="B193" s="171" t="s">
        <v>396</v>
      </c>
      <c r="C193" s="95" t="s">
        <v>438</v>
      </c>
      <c r="D193" s="95" t="s">
        <v>302</v>
      </c>
      <c r="E193" s="172">
        <v>-1.58834254457276</v>
      </c>
      <c r="F193" s="172">
        <v>20.5681653317647</v>
      </c>
      <c r="G193" s="171" t="s">
        <v>398</v>
      </c>
      <c r="H193" s="171" t="s">
        <v>399</v>
      </c>
      <c r="I193" s="173" t="s">
        <v>400</v>
      </c>
      <c r="J193" s="173"/>
      <c r="K193" s="173" t="s">
        <v>404</v>
      </c>
      <c r="L193" s="174">
        <v>43323</v>
      </c>
      <c r="M193" s="171" t="s">
        <v>402</v>
      </c>
      <c r="N193" s="171" t="s">
        <v>403</v>
      </c>
      <c r="O193" s="136"/>
    </row>
    <row r="194" spans="1:15">
      <c r="A194" s="101">
        <v>192</v>
      </c>
      <c r="B194" s="168" t="s">
        <v>396</v>
      </c>
      <c r="C194" s="90" t="s">
        <v>438</v>
      </c>
      <c r="D194" s="90" t="s">
        <v>303</v>
      </c>
      <c r="E194" s="169">
        <v>-1.7474555</v>
      </c>
      <c r="F194" s="169">
        <v>20.6810693</v>
      </c>
      <c r="G194" s="168" t="s">
        <v>398</v>
      </c>
      <c r="H194" s="168" t="s">
        <v>399</v>
      </c>
      <c r="I194" s="168" t="s">
        <v>400</v>
      </c>
      <c r="J194" s="180"/>
      <c r="K194" s="168" t="s">
        <v>413</v>
      </c>
      <c r="L194" s="180">
        <v>2023</v>
      </c>
      <c r="M194" s="168" t="s">
        <v>402</v>
      </c>
      <c r="N194" s="168" t="s">
        <v>403</v>
      </c>
      <c r="O194" s="181"/>
    </row>
    <row r="195" spans="1:15">
      <c r="A195" s="100">
        <v>193</v>
      </c>
      <c r="B195" s="171" t="s">
        <v>396</v>
      </c>
      <c r="C195" s="95" t="s">
        <v>438</v>
      </c>
      <c r="D195" s="95" t="s">
        <v>304</v>
      </c>
      <c r="E195" s="172">
        <v>-1.21027267264565</v>
      </c>
      <c r="F195" s="172">
        <v>19.7425268102641</v>
      </c>
      <c r="G195" s="171" t="s">
        <v>398</v>
      </c>
      <c r="H195" s="171" t="s">
        <v>399</v>
      </c>
      <c r="I195" s="173" t="s">
        <v>400</v>
      </c>
      <c r="J195" s="173"/>
      <c r="K195" s="173" t="s">
        <v>415</v>
      </c>
      <c r="L195" s="171">
        <v>2019</v>
      </c>
      <c r="M195" s="171" t="s">
        <v>402</v>
      </c>
      <c r="N195" s="171" t="s">
        <v>403</v>
      </c>
      <c r="O195" s="181"/>
    </row>
    <row r="196" spans="1:15">
      <c r="A196" s="101">
        <v>194</v>
      </c>
      <c r="B196" s="168" t="s">
        <v>396</v>
      </c>
      <c r="C196" s="90" t="s">
        <v>438</v>
      </c>
      <c r="D196" s="90" t="s">
        <v>305</v>
      </c>
      <c r="E196" s="180">
        <v>-1.7394436</v>
      </c>
      <c r="F196" s="180">
        <v>20.6864436</v>
      </c>
      <c r="G196" s="168" t="s">
        <v>398</v>
      </c>
      <c r="H196" s="168" t="s">
        <v>399</v>
      </c>
      <c r="I196" s="170" t="s">
        <v>400</v>
      </c>
      <c r="J196" s="170"/>
      <c r="K196" s="168" t="s">
        <v>401</v>
      </c>
      <c r="L196" s="168">
        <v>2016</v>
      </c>
      <c r="M196" s="168" t="s">
        <v>402</v>
      </c>
      <c r="N196" s="168" t="s">
        <v>403</v>
      </c>
      <c r="O196" s="181"/>
    </row>
    <row r="197" spans="1:15">
      <c r="A197" s="100">
        <v>195</v>
      </c>
      <c r="B197" s="171" t="s">
        <v>396</v>
      </c>
      <c r="C197" s="95" t="s">
        <v>438</v>
      </c>
      <c r="D197" s="95" t="s">
        <v>307</v>
      </c>
      <c r="E197" s="172">
        <v>-1.56220636453208</v>
      </c>
      <c r="F197" s="172">
        <v>19.9694303436355</v>
      </c>
      <c r="G197" s="171" t="s">
        <v>398</v>
      </c>
      <c r="H197" s="171" t="s">
        <v>399</v>
      </c>
      <c r="I197" s="173" t="s">
        <v>400</v>
      </c>
      <c r="J197" s="173"/>
      <c r="K197" s="171" t="s">
        <v>401</v>
      </c>
      <c r="L197" s="171">
        <v>2016</v>
      </c>
      <c r="M197" s="171" t="s">
        <v>402</v>
      </c>
      <c r="N197" s="171" t="s">
        <v>403</v>
      </c>
      <c r="O197" s="181"/>
    </row>
    <row r="198" spans="1:15">
      <c r="A198" s="101">
        <v>196</v>
      </c>
      <c r="B198" s="168" t="s">
        <v>396</v>
      </c>
      <c r="C198" s="90" t="s">
        <v>438</v>
      </c>
      <c r="D198" s="90" t="s">
        <v>308</v>
      </c>
      <c r="E198" s="168"/>
      <c r="F198" s="168"/>
      <c r="G198" s="168" t="s">
        <v>398</v>
      </c>
      <c r="H198" s="168" t="s">
        <v>399</v>
      </c>
      <c r="I198" s="168" t="s">
        <v>400</v>
      </c>
      <c r="J198" s="180"/>
      <c r="K198" s="168" t="s">
        <v>413</v>
      </c>
      <c r="L198" s="180">
        <v>2023</v>
      </c>
      <c r="M198" s="168" t="s">
        <v>402</v>
      </c>
      <c r="N198" s="168" t="s">
        <v>403</v>
      </c>
      <c r="O198" s="181"/>
    </row>
    <row r="199" spans="1:15">
      <c r="A199" s="100">
        <v>197</v>
      </c>
      <c r="B199" s="171" t="s">
        <v>396</v>
      </c>
      <c r="C199" s="95" t="s">
        <v>438</v>
      </c>
      <c r="D199" s="95" t="s">
        <v>309</v>
      </c>
      <c r="E199" s="175">
        <v>-1.7473669</v>
      </c>
      <c r="F199" s="175">
        <v>20.68071</v>
      </c>
      <c r="G199" s="171" t="s">
        <v>398</v>
      </c>
      <c r="H199" s="171" t="s">
        <v>399</v>
      </c>
      <c r="I199" s="173" t="s">
        <v>400</v>
      </c>
      <c r="J199" s="173"/>
      <c r="K199" s="171" t="s">
        <v>401</v>
      </c>
      <c r="L199" s="171">
        <v>2016</v>
      </c>
      <c r="M199" s="171" t="s">
        <v>402</v>
      </c>
      <c r="N199" s="171" t="s">
        <v>403</v>
      </c>
      <c r="O199" s="181"/>
    </row>
    <row r="200" spans="1:15">
      <c r="A200" s="101">
        <v>198</v>
      </c>
      <c r="B200" s="168" t="s">
        <v>396</v>
      </c>
      <c r="C200" s="90" t="s">
        <v>438</v>
      </c>
      <c r="D200" s="90" t="s">
        <v>310</v>
      </c>
      <c r="E200" s="180">
        <v>-1.7393873</v>
      </c>
      <c r="F200" s="180">
        <v>20.6865095</v>
      </c>
      <c r="G200" s="168" t="s">
        <v>398</v>
      </c>
      <c r="H200" s="168" t="s">
        <v>399</v>
      </c>
      <c r="I200" s="170" t="s">
        <v>400</v>
      </c>
      <c r="J200" s="170"/>
      <c r="K200" s="168" t="s">
        <v>401</v>
      </c>
      <c r="L200" s="168">
        <v>2016</v>
      </c>
      <c r="M200" s="168" t="s">
        <v>402</v>
      </c>
      <c r="N200" s="168" t="s">
        <v>403</v>
      </c>
      <c r="O200" s="181"/>
    </row>
    <row r="201" spans="1:15">
      <c r="A201" s="100">
        <v>199</v>
      </c>
      <c r="B201" s="171" t="s">
        <v>396</v>
      </c>
      <c r="C201" s="95" t="s">
        <v>438</v>
      </c>
      <c r="D201" s="95" t="s">
        <v>311</v>
      </c>
      <c r="E201" s="172">
        <v>-1.02535392784142</v>
      </c>
      <c r="F201" s="172">
        <v>20.5617043081073</v>
      </c>
      <c r="G201" s="171" t="s">
        <v>398</v>
      </c>
      <c r="H201" s="171" t="s">
        <v>399</v>
      </c>
      <c r="I201" s="173" t="s">
        <v>400</v>
      </c>
      <c r="J201" s="173"/>
      <c r="K201" s="173" t="s">
        <v>404</v>
      </c>
      <c r="L201" s="174">
        <v>43322</v>
      </c>
      <c r="M201" s="171" t="s">
        <v>402</v>
      </c>
      <c r="N201" s="171" t="s">
        <v>403</v>
      </c>
      <c r="O201" s="181"/>
    </row>
    <row r="202" spans="1:15">
      <c r="A202" s="101">
        <v>200</v>
      </c>
      <c r="B202" s="168" t="s">
        <v>396</v>
      </c>
      <c r="C202" s="90" t="s">
        <v>438</v>
      </c>
      <c r="D202" s="90" t="s">
        <v>312</v>
      </c>
      <c r="E202" s="180">
        <v>-1.7473669</v>
      </c>
      <c r="F202" s="180">
        <v>20.68071</v>
      </c>
      <c r="G202" s="168" t="s">
        <v>398</v>
      </c>
      <c r="H202" s="168" t="s">
        <v>399</v>
      </c>
      <c r="I202" s="170" t="s">
        <v>400</v>
      </c>
      <c r="J202" s="170"/>
      <c r="K202" s="170" t="s">
        <v>404</v>
      </c>
      <c r="L202" s="176">
        <v>43326</v>
      </c>
      <c r="M202" s="168" t="s">
        <v>402</v>
      </c>
      <c r="N202" s="168" t="s">
        <v>403</v>
      </c>
      <c r="O202" s="181"/>
    </row>
    <row r="203" spans="1:15">
      <c r="A203" s="100">
        <v>201</v>
      </c>
      <c r="B203" s="171" t="s">
        <v>396</v>
      </c>
      <c r="C203" s="95" t="s">
        <v>438</v>
      </c>
      <c r="D203" s="95" t="s">
        <v>313</v>
      </c>
      <c r="E203" s="172">
        <v>-1.31957365979651</v>
      </c>
      <c r="F203" s="172">
        <v>20.5025233425782</v>
      </c>
      <c r="G203" s="171" t="s">
        <v>398</v>
      </c>
      <c r="H203" s="171" t="s">
        <v>399</v>
      </c>
      <c r="I203" s="173" t="s">
        <v>400</v>
      </c>
      <c r="J203" s="173"/>
      <c r="K203" s="171" t="s">
        <v>401</v>
      </c>
      <c r="L203" s="171">
        <v>2016</v>
      </c>
      <c r="M203" s="171" t="s">
        <v>408</v>
      </c>
      <c r="N203" s="171" t="s">
        <v>403</v>
      </c>
      <c r="O203" s="181"/>
    </row>
    <row r="204" spans="1:15">
      <c r="A204" s="101">
        <v>202</v>
      </c>
      <c r="B204" s="168" t="s">
        <v>396</v>
      </c>
      <c r="C204" s="90" t="s">
        <v>438</v>
      </c>
      <c r="D204" s="90" t="s">
        <v>315</v>
      </c>
      <c r="E204" s="169">
        <v>-1.747391</v>
      </c>
      <c r="F204" s="169">
        <v>20.6811093</v>
      </c>
      <c r="G204" s="168" t="s">
        <v>398</v>
      </c>
      <c r="H204" s="168" t="s">
        <v>399</v>
      </c>
      <c r="I204" s="170" t="s">
        <v>400</v>
      </c>
      <c r="J204" s="170"/>
      <c r="K204" s="170" t="s">
        <v>415</v>
      </c>
      <c r="L204" s="168">
        <v>2019</v>
      </c>
      <c r="M204" s="168" t="s">
        <v>408</v>
      </c>
      <c r="N204" s="168" t="s">
        <v>403</v>
      </c>
      <c r="O204" s="181"/>
    </row>
    <row r="205" spans="1:15">
      <c r="A205" s="100">
        <v>203</v>
      </c>
      <c r="B205" s="171" t="s">
        <v>396</v>
      </c>
      <c r="C205" s="95" t="s">
        <v>438</v>
      </c>
      <c r="D205" s="95" t="s">
        <v>316</v>
      </c>
      <c r="E205" s="172">
        <v>-1.74276</v>
      </c>
      <c r="F205" s="172">
        <v>20.6848267</v>
      </c>
      <c r="G205" s="171" t="s">
        <v>398</v>
      </c>
      <c r="H205" s="171" t="s">
        <v>399</v>
      </c>
      <c r="I205" s="173" t="s">
        <v>400</v>
      </c>
      <c r="J205" s="173"/>
      <c r="K205" s="173" t="s">
        <v>415</v>
      </c>
      <c r="L205" s="171">
        <v>2019</v>
      </c>
      <c r="M205" s="171" t="s">
        <v>402</v>
      </c>
      <c r="N205" s="171" t="s">
        <v>403</v>
      </c>
      <c r="O205" s="181"/>
    </row>
    <row r="206" spans="1:15">
      <c r="A206" s="101">
        <v>204</v>
      </c>
      <c r="B206" s="168" t="s">
        <v>396</v>
      </c>
      <c r="C206" s="90" t="s">
        <v>438</v>
      </c>
      <c r="D206" s="90" t="s">
        <v>317</v>
      </c>
      <c r="E206" s="180">
        <v>-1.7473581</v>
      </c>
      <c r="F206" s="180">
        <v>20.68077</v>
      </c>
      <c r="G206" s="168" t="s">
        <v>398</v>
      </c>
      <c r="H206" s="168" t="s">
        <v>399</v>
      </c>
      <c r="I206" s="170" t="s">
        <v>400</v>
      </c>
      <c r="J206" s="170"/>
      <c r="K206" s="170" t="s">
        <v>404</v>
      </c>
      <c r="L206" s="176">
        <v>43325</v>
      </c>
      <c r="M206" s="168" t="s">
        <v>402</v>
      </c>
      <c r="N206" s="168" t="s">
        <v>403</v>
      </c>
      <c r="O206" s="181"/>
    </row>
    <row r="207" spans="1:15">
      <c r="A207" s="100">
        <v>205</v>
      </c>
      <c r="B207" s="171" t="s">
        <v>396</v>
      </c>
      <c r="C207" s="95" t="s">
        <v>438</v>
      </c>
      <c r="D207" s="95" t="s">
        <v>318</v>
      </c>
      <c r="E207" s="172">
        <v>-1.747391</v>
      </c>
      <c r="F207" s="172">
        <v>20.6811093</v>
      </c>
      <c r="G207" s="171" t="s">
        <v>398</v>
      </c>
      <c r="H207" s="171" t="s">
        <v>399</v>
      </c>
      <c r="I207" s="173" t="s">
        <v>400</v>
      </c>
      <c r="J207" s="173"/>
      <c r="K207" s="171" t="s">
        <v>401</v>
      </c>
      <c r="L207" s="171">
        <v>2016</v>
      </c>
      <c r="M207" s="171" t="s">
        <v>402</v>
      </c>
      <c r="N207" s="171" t="s">
        <v>403</v>
      </c>
      <c r="O207" s="181"/>
    </row>
    <row r="208" spans="1:15">
      <c r="A208" s="101">
        <v>206</v>
      </c>
      <c r="B208" s="168" t="s">
        <v>396</v>
      </c>
      <c r="C208" s="90" t="s">
        <v>438</v>
      </c>
      <c r="D208" s="90" t="s">
        <v>319</v>
      </c>
      <c r="E208" s="180">
        <v>-1.7473669</v>
      </c>
      <c r="F208" s="180">
        <v>20.68071</v>
      </c>
      <c r="G208" s="168" t="s">
        <v>398</v>
      </c>
      <c r="H208" s="168" t="s">
        <v>399</v>
      </c>
      <c r="I208" s="170" t="s">
        <v>400</v>
      </c>
      <c r="J208" s="170"/>
      <c r="K208" s="168" t="s">
        <v>401</v>
      </c>
      <c r="L208" s="168">
        <v>2016</v>
      </c>
      <c r="M208" s="168" t="s">
        <v>402</v>
      </c>
      <c r="N208" s="168" t="s">
        <v>403</v>
      </c>
      <c r="O208" s="181"/>
    </row>
    <row r="209" spans="1:15">
      <c r="A209" s="100">
        <v>207</v>
      </c>
      <c r="B209" s="171" t="s">
        <v>396</v>
      </c>
      <c r="C209" s="95" t="s">
        <v>438</v>
      </c>
      <c r="D209" s="95" t="s">
        <v>320</v>
      </c>
      <c r="E209" s="175">
        <v>-1.65219</v>
      </c>
      <c r="F209" s="175">
        <v>20.7421733333333</v>
      </c>
      <c r="G209" s="171" t="s">
        <v>398</v>
      </c>
      <c r="H209" s="171" t="s">
        <v>399</v>
      </c>
      <c r="I209" s="173" t="s">
        <v>400</v>
      </c>
      <c r="J209" s="173"/>
      <c r="K209" s="171" t="s">
        <v>401</v>
      </c>
      <c r="L209" s="171">
        <v>2016</v>
      </c>
      <c r="M209" s="171" t="s">
        <v>402</v>
      </c>
      <c r="N209" s="171" t="s">
        <v>403</v>
      </c>
      <c r="O209" s="181"/>
    </row>
    <row r="210" spans="1:15">
      <c r="A210" s="101">
        <v>208</v>
      </c>
      <c r="B210" s="168" t="s">
        <v>396</v>
      </c>
      <c r="C210" s="90" t="s">
        <v>438</v>
      </c>
      <c r="D210" s="90" t="s">
        <v>321</v>
      </c>
      <c r="E210" s="180">
        <v>-1.7473843</v>
      </c>
      <c r="F210" s="180">
        <v>20.6811437</v>
      </c>
      <c r="G210" s="168" t="s">
        <v>398</v>
      </c>
      <c r="H210" s="168" t="s">
        <v>399</v>
      </c>
      <c r="I210" s="170" t="s">
        <v>400</v>
      </c>
      <c r="J210" s="170"/>
      <c r="K210" s="168" t="s">
        <v>401</v>
      </c>
      <c r="L210" s="168">
        <v>2016</v>
      </c>
      <c r="M210" s="168" t="s">
        <v>402</v>
      </c>
      <c r="N210" s="168" t="s">
        <v>403</v>
      </c>
      <c r="O210" s="181"/>
    </row>
    <row r="211" spans="1:15">
      <c r="A211" s="100">
        <v>209</v>
      </c>
      <c r="B211" s="171" t="s">
        <v>396</v>
      </c>
      <c r="C211" s="95" t="s">
        <v>438</v>
      </c>
      <c r="D211" s="95" t="s">
        <v>322</v>
      </c>
      <c r="E211" s="172">
        <v>-1.7473478</v>
      </c>
      <c r="F211" s="172">
        <v>20.6812756</v>
      </c>
      <c r="G211" s="171" t="s">
        <v>398</v>
      </c>
      <c r="H211" s="171" t="s">
        <v>399</v>
      </c>
      <c r="I211" s="173" t="s">
        <v>400</v>
      </c>
      <c r="J211" s="173"/>
      <c r="K211" s="171" t="s">
        <v>401</v>
      </c>
      <c r="L211" s="171">
        <v>2016</v>
      </c>
      <c r="M211" s="171" t="s">
        <v>402</v>
      </c>
      <c r="N211" s="171" t="s">
        <v>403</v>
      </c>
      <c r="O211" s="181"/>
    </row>
    <row r="212" spans="1:15">
      <c r="A212" s="101">
        <v>210</v>
      </c>
      <c r="B212" s="168" t="s">
        <v>396</v>
      </c>
      <c r="C212" s="90" t="s">
        <v>438</v>
      </c>
      <c r="D212" s="90" t="s">
        <v>323</v>
      </c>
      <c r="E212" s="169">
        <v>-8.63247043333333</v>
      </c>
      <c r="F212" s="169">
        <v>25.2686633666666</v>
      </c>
      <c r="G212" s="168" t="s">
        <v>398</v>
      </c>
      <c r="H212" s="168" t="s">
        <v>399</v>
      </c>
      <c r="I212" s="170" t="s">
        <v>400</v>
      </c>
      <c r="J212" s="170"/>
      <c r="K212" s="168" t="s">
        <v>401</v>
      </c>
      <c r="L212" s="168">
        <v>2016</v>
      </c>
      <c r="M212" s="168" t="s">
        <v>402</v>
      </c>
      <c r="N212" s="168" t="s">
        <v>403</v>
      </c>
      <c r="O212" s="181"/>
    </row>
    <row r="213" spans="1:15">
      <c r="A213" s="100">
        <v>211</v>
      </c>
      <c r="B213" s="171" t="s">
        <v>396</v>
      </c>
      <c r="C213" s="95" t="s">
        <v>438</v>
      </c>
      <c r="D213" s="95" t="s">
        <v>324</v>
      </c>
      <c r="E213" s="172">
        <v>-3.9900567</v>
      </c>
      <c r="F213" s="172">
        <v>18.1758233</v>
      </c>
      <c r="G213" s="171" t="s">
        <v>398</v>
      </c>
      <c r="H213" s="171" t="s">
        <v>399</v>
      </c>
      <c r="I213" s="173" t="s">
        <v>400</v>
      </c>
      <c r="J213" s="173"/>
      <c r="K213" s="171" t="s">
        <v>401</v>
      </c>
      <c r="L213" s="171">
        <v>2016</v>
      </c>
      <c r="M213" s="171" t="s">
        <v>402</v>
      </c>
      <c r="N213" s="171" t="s">
        <v>403</v>
      </c>
      <c r="O213" s="181"/>
    </row>
    <row r="214" spans="1:15">
      <c r="A214" s="101">
        <v>212</v>
      </c>
      <c r="B214" s="168" t="s">
        <v>396</v>
      </c>
      <c r="C214" s="90" t="s">
        <v>438</v>
      </c>
      <c r="D214" s="90" t="s">
        <v>326</v>
      </c>
      <c r="E214" s="169">
        <v>-1.7474555</v>
      </c>
      <c r="F214" s="169">
        <v>20.6810693</v>
      </c>
      <c r="G214" s="168" t="s">
        <v>398</v>
      </c>
      <c r="H214" s="168" t="s">
        <v>399</v>
      </c>
      <c r="I214" s="170" t="s">
        <v>400</v>
      </c>
      <c r="J214" s="170"/>
      <c r="K214" s="168" t="s">
        <v>401</v>
      </c>
      <c r="L214" s="168">
        <v>2016</v>
      </c>
      <c r="M214" s="168" t="s">
        <v>402</v>
      </c>
      <c r="N214" s="168" t="s">
        <v>403</v>
      </c>
      <c r="O214" s="181"/>
    </row>
    <row r="215" spans="1:15">
      <c r="A215" s="100"/>
      <c r="B215" s="96"/>
      <c r="C215" s="95"/>
      <c r="D215" s="95"/>
      <c r="E215" s="96"/>
      <c r="F215" s="96"/>
      <c r="G215" s="96"/>
      <c r="H215" s="96"/>
      <c r="I215" s="96"/>
      <c r="J215" s="96"/>
      <c r="K215" s="96"/>
      <c r="L215" s="96"/>
      <c r="M215" s="96"/>
      <c r="N215" s="96"/>
      <c r="O215" s="181"/>
    </row>
    <row r="216" spans="1:15">
      <c r="A216" s="101">
        <v>213</v>
      </c>
      <c r="B216" s="168" t="s">
        <v>396</v>
      </c>
      <c r="C216" s="90" t="s">
        <v>439</v>
      </c>
      <c r="D216" s="90" t="s">
        <v>73</v>
      </c>
      <c r="E216" s="169">
        <v>-0.7870414</v>
      </c>
      <c r="F216" s="169">
        <v>21.6402046</v>
      </c>
      <c r="G216" s="168" t="s">
        <v>398</v>
      </c>
      <c r="H216" s="168" t="s">
        <v>399</v>
      </c>
      <c r="I216" s="170" t="s">
        <v>400</v>
      </c>
      <c r="J216" s="170"/>
      <c r="K216" s="168" t="s">
        <v>401</v>
      </c>
      <c r="L216" s="168">
        <v>2016</v>
      </c>
      <c r="M216" s="168" t="s">
        <v>402</v>
      </c>
      <c r="N216" s="168" t="s">
        <v>403</v>
      </c>
      <c r="O216" s="136"/>
    </row>
    <row r="217" spans="1:15">
      <c r="A217" s="100">
        <v>214</v>
      </c>
      <c r="B217" s="171" t="s">
        <v>396</v>
      </c>
      <c r="C217" s="95" t="s">
        <v>439</v>
      </c>
      <c r="D217" s="95" t="s">
        <v>329</v>
      </c>
      <c r="E217" s="175">
        <v>-0.8198517</v>
      </c>
      <c r="F217" s="175">
        <v>21.1946284</v>
      </c>
      <c r="G217" s="171" t="s">
        <v>398</v>
      </c>
      <c r="H217" s="171" t="s">
        <v>399</v>
      </c>
      <c r="I217" s="171" t="s">
        <v>400</v>
      </c>
      <c r="J217" s="171"/>
      <c r="K217" s="171"/>
      <c r="L217" s="171"/>
      <c r="M217" s="171" t="s">
        <v>408</v>
      </c>
      <c r="N217" s="171" t="s">
        <v>403</v>
      </c>
      <c r="O217" s="181"/>
    </row>
    <row r="218" spans="1:15">
      <c r="A218" s="101">
        <v>215</v>
      </c>
      <c r="B218" s="168" t="s">
        <v>396</v>
      </c>
      <c r="C218" s="90" t="s">
        <v>439</v>
      </c>
      <c r="D218" s="90" t="s">
        <v>329</v>
      </c>
      <c r="E218" s="180">
        <v>-0.785268333333333</v>
      </c>
      <c r="F218" s="180">
        <v>21.256145</v>
      </c>
      <c r="G218" s="168" t="s">
        <v>398</v>
      </c>
      <c r="H218" s="168" t="s">
        <v>399</v>
      </c>
      <c r="I218" s="170" t="s">
        <v>400</v>
      </c>
      <c r="J218" s="170"/>
      <c r="K218" s="168" t="s">
        <v>401</v>
      </c>
      <c r="L218" s="168">
        <v>2016</v>
      </c>
      <c r="M218" s="168" t="s">
        <v>402</v>
      </c>
      <c r="N218" s="168" t="s">
        <v>403</v>
      </c>
      <c r="O218" s="181"/>
    </row>
    <row r="219" spans="1:15">
      <c r="A219" s="100">
        <v>216</v>
      </c>
      <c r="B219" s="171" t="s">
        <v>396</v>
      </c>
      <c r="C219" s="95" t="s">
        <v>439</v>
      </c>
      <c r="D219" s="95" t="s">
        <v>330</v>
      </c>
      <c r="E219" s="172">
        <v>-0.492404</v>
      </c>
      <c r="F219" s="172">
        <v>21.5549467</v>
      </c>
      <c r="G219" s="171" t="s">
        <v>398</v>
      </c>
      <c r="H219" s="171" t="s">
        <v>399</v>
      </c>
      <c r="I219" s="173" t="s">
        <v>400</v>
      </c>
      <c r="J219" s="173"/>
      <c r="K219" s="173" t="s">
        <v>415</v>
      </c>
      <c r="L219" s="171">
        <v>2019</v>
      </c>
      <c r="M219" s="171" t="s">
        <v>402</v>
      </c>
      <c r="N219" s="171" t="s">
        <v>403</v>
      </c>
      <c r="O219" s="181"/>
    </row>
    <row r="220" spans="1:15">
      <c r="A220" s="101">
        <v>217</v>
      </c>
      <c r="B220" s="168" t="s">
        <v>396</v>
      </c>
      <c r="C220" s="90" t="s">
        <v>439</v>
      </c>
      <c r="D220" s="90" t="s">
        <v>334</v>
      </c>
      <c r="E220" s="180">
        <v>-0.7905675</v>
      </c>
      <c r="F220" s="180">
        <v>21.096509</v>
      </c>
      <c r="G220" s="168" t="s">
        <v>398</v>
      </c>
      <c r="H220" s="168" t="s">
        <v>399</v>
      </c>
      <c r="I220" s="170" t="s">
        <v>400</v>
      </c>
      <c r="J220" s="170"/>
      <c r="K220" s="170" t="s">
        <v>404</v>
      </c>
      <c r="L220" s="176">
        <v>43346</v>
      </c>
      <c r="M220" s="168" t="s">
        <v>402</v>
      </c>
      <c r="N220" s="168" t="s">
        <v>403</v>
      </c>
      <c r="O220" s="181"/>
    </row>
    <row r="221" spans="1:15">
      <c r="A221" s="100">
        <v>218</v>
      </c>
      <c r="B221" s="171" t="s">
        <v>396</v>
      </c>
      <c r="C221" s="95" t="s">
        <v>439</v>
      </c>
      <c r="D221" s="95" t="s">
        <v>35</v>
      </c>
      <c r="E221" s="175">
        <v>-0.4927276</v>
      </c>
      <c r="F221" s="175">
        <v>21.5551122</v>
      </c>
      <c r="G221" s="171" t="s">
        <v>398</v>
      </c>
      <c r="H221" s="171" t="s">
        <v>399</v>
      </c>
      <c r="I221" s="173" t="s">
        <v>400</v>
      </c>
      <c r="J221" s="173"/>
      <c r="K221" s="171" t="s">
        <v>401</v>
      </c>
      <c r="L221" s="171">
        <v>2016</v>
      </c>
      <c r="M221" s="171" t="s">
        <v>402</v>
      </c>
      <c r="N221" s="171" t="s">
        <v>403</v>
      </c>
      <c r="O221" s="181"/>
    </row>
    <row r="222" spans="1:15">
      <c r="A222" s="101">
        <v>219</v>
      </c>
      <c r="B222" s="168" t="s">
        <v>396</v>
      </c>
      <c r="C222" s="90" t="s">
        <v>439</v>
      </c>
      <c r="D222" s="90" t="s">
        <v>337</v>
      </c>
      <c r="E222" s="180">
        <v>-0.4898032</v>
      </c>
      <c r="F222" s="180">
        <v>21.551255</v>
      </c>
      <c r="G222" s="168" t="s">
        <v>398</v>
      </c>
      <c r="H222" s="168" t="s">
        <v>399</v>
      </c>
      <c r="I222" s="170" t="s">
        <v>400</v>
      </c>
      <c r="J222" s="170"/>
      <c r="K222" s="168" t="s">
        <v>401</v>
      </c>
      <c r="L222" s="168">
        <v>2016</v>
      </c>
      <c r="M222" s="168" t="s">
        <v>402</v>
      </c>
      <c r="N222" s="168" t="s">
        <v>403</v>
      </c>
      <c r="O222" s="181"/>
    </row>
    <row r="223" spans="1:15">
      <c r="A223" s="100">
        <v>220</v>
      </c>
      <c r="B223" s="171" t="s">
        <v>396</v>
      </c>
      <c r="C223" s="95" t="s">
        <v>439</v>
      </c>
      <c r="D223" s="95" t="s">
        <v>338</v>
      </c>
      <c r="E223" s="172">
        <v>-0.8373281</v>
      </c>
      <c r="F223" s="172">
        <v>21.742969</v>
      </c>
      <c r="G223" s="171" t="s">
        <v>398</v>
      </c>
      <c r="H223" s="171" t="s">
        <v>399</v>
      </c>
      <c r="I223" s="173" t="s">
        <v>400</v>
      </c>
      <c r="J223" s="173"/>
      <c r="K223" s="173" t="s">
        <v>404</v>
      </c>
      <c r="L223" s="174">
        <v>43433</v>
      </c>
      <c r="M223" s="171" t="s">
        <v>402</v>
      </c>
      <c r="N223" s="171" t="s">
        <v>403</v>
      </c>
      <c r="O223" s="181"/>
    </row>
    <row r="224" spans="1:15">
      <c r="A224" s="101">
        <v>221</v>
      </c>
      <c r="B224" s="168" t="s">
        <v>396</v>
      </c>
      <c r="C224" s="90" t="s">
        <v>439</v>
      </c>
      <c r="D224" s="90" t="s">
        <v>339</v>
      </c>
      <c r="E224" s="180">
        <v>-1.2043286</v>
      </c>
      <c r="F224" s="180">
        <v>21.7548857</v>
      </c>
      <c r="G224" s="168" t="s">
        <v>398</v>
      </c>
      <c r="H224" s="168" t="s">
        <v>399</v>
      </c>
      <c r="I224" s="170" t="s">
        <v>400</v>
      </c>
      <c r="J224" s="170"/>
      <c r="K224" s="170" t="s">
        <v>404</v>
      </c>
      <c r="L224" s="176">
        <v>43377</v>
      </c>
      <c r="M224" s="168" t="s">
        <v>402</v>
      </c>
      <c r="N224" s="168" t="s">
        <v>403</v>
      </c>
      <c r="O224" s="181"/>
    </row>
    <row r="225" spans="1:15">
      <c r="A225" s="100">
        <v>222</v>
      </c>
      <c r="B225" s="171" t="s">
        <v>396</v>
      </c>
      <c r="C225" s="95" t="s">
        <v>439</v>
      </c>
      <c r="D225" s="95" t="s">
        <v>340</v>
      </c>
      <c r="E225" s="175">
        <v>-0.7692443</v>
      </c>
      <c r="F225" s="175">
        <v>20.935859</v>
      </c>
      <c r="G225" s="171" t="s">
        <v>398</v>
      </c>
      <c r="H225" s="171" t="s">
        <v>399</v>
      </c>
      <c r="I225" s="173" t="s">
        <v>400</v>
      </c>
      <c r="J225" s="173"/>
      <c r="K225" s="171" t="s">
        <v>401</v>
      </c>
      <c r="L225" s="171">
        <v>2016</v>
      </c>
      <c r="M225" s="171" t="s">
        <v>402</v>
      </c>
      <c r="N225" s="171" t="s">
        <v>403</v>
      </c>
      <c r="O225" s="181"/>
    </row>
    <row r="226" spans="1:15">
      <c r="A226" s="101">
        <v>223</v>
      </c>
      <c r="B226" s="168" t="s">
        <v>396</v>
      </c>
      <c r="C226" s="90" t="s">
        <v>439</v>
      </c>
      <c r="D226" s="90" t="s">
        <v>341</v>
      </c>
      <c r="E226" s="169">
        <v>-0.6461133</v>
      </c>
      <c r="F226" s="169">
        <v>21.5530883</v>
      </c>
      <c r="G226" s="168" t="s">
        <v>398</v>
      </c>
      <c r="H226" s="168" t="s">
        <v>399</v>
      </c>
      <c r="I226" s="170" t="s">
        <v>400</v>
      </c>
      <c r="J226" s="170"/>
      <c r="K226" s="170" t="s">
        <v>404</v>
      </c>
      <c r="L226" s="176">
        <v>43433</v>
      </c>
      <c r="M226" s="168" t="s">
        <v>402</v>
      </c>
      <c r="N226" s="168" t="s">
        <v>403</v>
      </c>
      <c r="O226" s="181"/>
    </row>
    <row r="227" spans="1:15">
      <c r="A227" s="100">
        <v>224</v>
      </c>
      <c r="B227" s="171" t="s">
        <v>396</v>
      </c>
      <c r="C227" s="95" t="s">
        <v>439</v>
      </c>
      <c r="D227" s="95" t="s">
        <v>342</v>
      </c>
      <c r="E227" s="172">
        <v>-0.5239848</v>
      </c>
      <c r="F227" s="172">
        <v>21.4661901</v>
      </c>
      <c r="G227" s="171" t="s">
        <v>398</v>
      </c>
      <c r="H227" s="171" t="s">
        <v>399</v>
      </c>
      <c r="I227" s="173" t="s">
        <v>400</v>
      </c>
      <c r="J227" s="173"/>
      <c r="K227" s="171" t="s">
        <v>401</v>
      </c>
      <c r="L227" s="171">
        <v>2016</v>
      </c>
      <c r="M227" s="171" t="s">
        <v>402</v>
      </c>
      <c r="N227" s="171" t="s">
        <v>403</v>
      </c>
      <c r="O227" s="181"/>
    </row>
    <row r="228" spans="1:15">
      <c r="A228" s="101">
        <v>225</v>
      </c>
      <c r="B228" s="168" t="s">
        <v>396</v>
      </c>
      <c r="C228" s="90" t="s">
        <v>439</v>
      </c>
      <c r="D228" s="90" t="s">
        <v>343</v>
      </c>
      <c r="E228" s="169">
        <v>-3.3085011</v>
      </c>
      <c r="F228" s="169">
        <v>17.3759206</v>
      </c>
      <c r="G228" s="168" t="s">
        <v>398</v>
      </c>
      <c r="H228" s="168" t="s">
        <v>399</v>
      </c>
      <c r="I228" s="170" t="s">
        <v>400</v>
      </c>
      <c r="J228" s="170"/>
      <c r="K228" s="168" t="s">
        <v>401</v>
      </c>
      <c r="L228" s="168">
        <v>2016</v>
      </c>
      <c r="M228" s="168" t="s">
        <v>402</v>
      </c>
      <c r="N228" s="168" t="s">
        <v>403</v>
      </c>
      <c r="O228" s="181"/>
    </row>
    <row r="229" spans="1:15">
      <c r="A229" s="100">
        <v>226</v>
      </c>
      <c r="B229" s="171" t="s">
        <v>396</v>
      </c>
      <c r="C229" s="95" t="s">
        <v>439</v>
      </c>
      <c r="D229" s="95" t="s">
        <v>344</v>
      </c>
      <c r="E229" s="175">
        <v>-0.841855</v>
      </c>
      <c r="F229" s="175">
        <v>21.503595</v>
      </c>
      <c r="G229" s="171" t="s">
        <v>398</v>
      </c>
      <c r="H229" s="171" t="s">
        <v>399</v>
      </c>
      <c r="I229" s="173" t="s">
        <v>400</v>
      </c>
      <c r="J229" s="173"/>
      <c r="K229" s="171" t="s">
        <v>401</v>
      </c>
      <c r="L229" s="171">
        <v>2016</v>
      </c>
      <c r="M229" s="171" t="s">
        <v>402</v>
      </c>
      <c r="N229" s="171" t="s">
        <v>403</v>
      </c>
      <c r="O229" s="181"/>
    </row>
    <row r="230" spans="1:15">
      <c r="A230" s="101">
        <v>227</v>
      </c>
      <c r="B230" s="168" t="s">
        <v>396</v>
      </c>
      <c r="C230" s="90" t="s">
        <v>439</v>
      </c>
      <c r="D230" s="90" t="s">
        <v>345</v>
      </c>
      <c r="E230" s="169">
        <v>-0.3856632</v>
      </c>
      <c r="F230" s="169">
        <v>21.3681519</v>
      </c>
      <c r="G230" s="168" t="s">
        <v>398</v>
      </c>
      <c r="H230" s="168" t="s">
        <v>399</v>
      </c>
      <c r="I230" s="170" t="s">
        <v>400</v>
      </c>
      <c r="J230" s="170"/>
      <c r="K230" s="168" t="s">
        <v>401</v>
      </c>
      <c r="L230" s="168">
        <v>2016</v>
      </c>
      <c r="M230" s="168" t="s">
        <v>402</v>
      </c>
      <c r="N230" s="168" t="s">
        <v>403</v>
      </c>
      <c r="O230" s="181"/>
    </row>
    <row r="231" spans="1:15">
      <c r="A231" s="100">
        <v>228</v>
      </c>
      <c r="B231" s="171" t="s">
        <v>396</v>
      </c>
      <c r="C231" s="95" t="s">
        <v>439</v>
      </c>
      <c r="D231" s="95" t="s">
        <v>346</v>
      </c>
      <c r="E231" s="175">
        <v>-1.074035</v>
      </c>
      <c r="F231" s="175">
        <v>21.1683912</v>
      </c>
      <c r="G231" s="171" t="s">
        <v>398</v>
      </c>
      <c r="H231" s="171" t="s">
        <v>399</v>
      </c>
      <c r="I231" s="173" t="s">
        <v>400</v>
      </c>
      <c r="J231" s="173"/>
      <c r="K231" s="171" t="s">
        <v>401</v>
      </c>
      <c r="L231" s="171">
        <v>2016</v>
      </c>
      <c r="M231" s="171" t="s">
        <v>402</v>
      </c>
      <c r="N231" s="171" t="s">
        <v>403</v>
      </c>
      <c r="O231" s="181"/>
    </row>
    <row r="232" spans="1:15">
      <c r="A232" s="101">
        <v>229</v>
      </c>
      <c r="B232" s="168" t="s">
        <v>396</v>
      </c>
      <c r="C232" s="90" t="s">
        <v>439</v>
      </c>
      <c r="D232" s="90" t="s">
        <v>347</v>
      </c>
      <c r="E232" s="169">
        <v>-0.6058765</v>
      </c>
      <c r="F232" s="169">
        <v>22.3159703</v>
      </c>
      <c r="G232" s="168" t="s">
        <v>398</v>
      </c>
      <c r="H232" s="168" t="s">
        <v>399</v>
      </c>
      <c r="I232" s="170" t="s">
        <v>400</v>
      </c>
      <c r="J232" s="170"/>
      <c r="K232" s="170" t="s">
        <v>415</v>
      </c>
      <c r="L232" s="168">
        <v>2019</v>
      </c>
      <c r="M232" s="168" t="s">
        <v>402</v>
      </c>
      <c r="N232" s="168" t="s">
        <v>403</v>
      </c>
      <c r="O232" s="181"/>
    </row>
    <row r="233" spans="1:15">
      <c r="A233" s="100">
        <v>230</v>
      </c>
      <c r="B233" s="171" t="s">
        <v>396</v>
      </c>
      <c r="C233" s="95" t="s">
        <v>439</v>
      </c>
      <c r="D233" s="95" t="s">
        <v>348</v>
      </c>
      <c r="E233" s="171"/>
      <c r="F233" s="171"/>
      <c r="G233" s="171" t="s">
        <v>398</v>
      </c>
      <c r="H233" s="171" t="s">
        <v>399</v>
      </c>
      <c r="I233" s="171" t="s">
        <v>400</v>
      </c>
      <c r="J233" s="175"/>
      <c r="K233" s="171" t="s">
        <v>413</v>
      </c>
      <c r="L233" s="175">
        <v>2023</v>
      </c>
      <c r="M233" s="171" t="s">
        <v>402</v>
      </c>
      <c r="N233" s="171" t="s">
        <v>403</v>
      </c>
      <c r="O233" s="181"/>
    </row>
    <row r="234" spans="1:15">
      <c r="A234" s="101">
        <v>231</v>
      </c>
      <c r="B234" s="168" t="s">
        <v>396</v>
      </c>
      <c r="C234" s="90" t="s">
        <v>439</v>
      </c>
      <c r="D234" s="90" t="s">
        <v>349</v>
      </c>
      <c r="E234" s="169">
        <v>-0.4899726</v>
      </c>
      <c r="F234" s="169">
        <v>21.6252834</v>
      </c>
      <c r="G234" s="168" t="s">
        <v>398</v>
      </c>
      <c r="H234" s="168" t="s">
        <v>399</v>
      </c>
      <c r="I234" s="170" t="s">
        <v>400</v>
      </c>
      <c r="J234" s="170"/>
      <c r="K234" s="170" t="s">
        <v>415</v>
      </c>
      <c r="L234" s="168">
        <v>2019</v>
      </c>
      <c r="M234" s="168" t="s">
        <v>402</v>
      </c>
      <c r="N234" s="168" t="s">
        <v>403</v>
      </c>
      <c r="O234" s="181"/>
    </row>
    <row r="235" spans="1:15">
      <c r="A235" s="100"/>
      <c r="B235" s="96"/>
      <c r="C235" s="95"/>
      <c r="D235" s="95"/>
      <c r="E235" s="96"/>
      <c r="F235" s="96"/>
      <c r="G235" s="96"/>
      <c r="H235" s="96"/>
      <c r="I235" s="96"/>
      <c r="J235" s="96"/>
      <c r="K235" s="96"/>
      <c r="L235" s="96"/>
      <c r="M235" s="96"/>
      <c r="N235" s="96"/>
      <c r="O235" s="181"/>
    </row>
    <row r="236" spans="1:15">
      <c r="A236" s="101">
        <v>232</v>
      </c>
      <c r="B236" s="168" t="s">
        <v>396</v>
      </c>
      <c r="C236" s="90" t="s">
        <v>440</v>
      </c>
      <c r="D236" s="90" t="s">
        <v>351</v>
      </c>
      <c r="E236" s="169">
        <v>-0.8541883</v>
      </c>
      <c r="F236" s="169">
        <v>22.2915317</v>
      </c>
      <c r="G236" s="168" t="s">
        <v>398</v>
      </c>
      <c r="H236" s="168" t="s">
        <v>399</v>
      </c>
      <c r="I236" s="170" t="s">
        <v>400</v>
      </c>
      <c r="J236" s="170"/>
      <c r="K236" s="170" t="s">
        <v>415</v>
      </c>
      <c r="L236" s="168">
        <v>2019</v>
      </c>
      <c r="M236" s="168" t="s">
        <v>402</v>
      </c>
      <c r="N236" s="168" t="s">
        <v>403</v>
      </c>
      <c r="O236" s="136"/>
    </row>
    <row r="237" spans="1:15">
      <c r="A237" s="100">
        <v>233</v>
      </c>
      <c r="B237" s="171" t="s">
        <v>396</v>
      </c>
      <c r="C237" s="95" t="s">
        <v>440</v>
      </c>
      <c r="D237" s="95" t="s">
        <v>352</v>
      </c>
      <c r="E237" s="172">
        <v>-0.7653059</v>
      </c>
      <c r="F237" s="172">
        <v>22.3314299</v>
      </c>
      <c r="G237" s="171" t="s">
        <v>398</v>
      </c>
      <c r="H237" s="171" t="s">
        <v>399</v>
      </c>
      <c r="I237" s="173" t="s">
        <v>400</v>
      </c>
      <c r="J237" s="173"/>
      <c r="K237" s="171" t="s">
        <v>401</v>
      </c>
      <c r="L237" s="171">
        <v>2016</v>
      </c>
      <c r="M237" s="171" t="s">
        <v>402</v>
      </c>
      <c r="N237" s="171" t="s">
        <v>403</v>
      </c>
      <c r="O237" s="181"/>
    </row>
    <row r="238" spans="1:15">
      <c r="A238" s="101">
        <v>234</v>
      </c>
      <c r="B238" s="168" t="s">
        <v>396</v>
      </c>
      <c r="C238" s="90" t="s">
        <v>440</v>
      </c>
      <c r="D238" s="90" t="s">
        <v>353</v>
      </c>
      <c r="E238" s="169">
        <v>-1.3633681</v>
      </c>
      <c r="F238" s="169">
        <v>22.2634308</v>
      </c>
      <c r="G238" s="168" t="s">
        <v>398</v>
      </c>
      <c r="H238" s="168" t="s">
        <v>399</v>
      </c>
      <c r="I238" s="170" t="s">
        <v>400</v>
      </c>
      <c r="J238" s="170"/>
      <c r="K238" s="168" t="s">
        <v>401</v>
      </c>
      <c r="L238" s="168">
        <v>2016</v>
      </c>
      <c r="M238" s="168" t="s">
        <v>408</v>
      </c>
      <c r="N238" s="168" t="s">
        <v>403</v>
      </c>
      <c r="O238" s="181"/>
    </row>
    <row r="239" spans="1:15">
      <c r="A239" s="100">
        <v>235</v>
      </c>
      <c r="B239" s="171" t="s">
        <v>396</v>
      </c>
      <c r="C239" s="95" t="s">
        <v>440</v>
      </c>
      <c r="D239" s="95" t="s">
        <v>441</v>
      </c>
      <c r="E239" s="172">
        <v>-1.0434332</v>
      </c>
      <c r="F239" s="172">
        <v>22.3655483</v>
      </c>
      <c r="G239" s="171" t="s">
        <v>398</v>
      </c>
      <c r="H239" s="171" t="s">
        <v>399</v>
      </c>
      <c r="I239" s="173" t="s">
        <v>400</v>
      </c>
      <c r="J239" s="173"/>
      <c r="K239" s="173" t="s">
        <v>415</v>
      </c>
      <c r="L239" s="171">
        <v>2019</v>
      </c>
      <c r="M239" s="171" t="s">
        <v>402</v>
      </c>
      <c r="N239" s="171" t="s">
        <v>403</v>
      </c>
      <c r="O239" s="181"/>
    </row>
    <row r="240" spans="1:15">
      <c r="A240" s="101">
        <v>236</v>
      </c>
      <c r="B240" s="168" t="s">
        <v>396</v>
      </c>
      <c r="C240" s="90" t="s">
        <v>440</v>
      </c>
      <c r="D240" s="90" t="s">
        <v>355</v>
      </c>
      <c r="E240" s="169">
        <v>-1.4054956</v>
      </c>
      <c r="F240" s="169">
        <v>22.9806189</v>
      </c>
      <c r="G240" s="168" t="s">
        <v>398</v>
      </c>
      <c r="H240" s="168" t="s">
        <v>399</v>
      </c>
      <c r="I240" s="170" t="s">
        <v>400</v>
      </c>
      <c r="J240" s="170"/>
      <c r="K240" s="168" t="s">
        <v>401</v>
      </c>
      <c r="L240" s="168">
        <v>2016</v>
      </c>
      <c r="M240" s="168" t="s">
        <v>402</v>
      </c>
      <c r="N240" s="168" t="s">
        <v>403</v>
      </c>
      <c r="O240" s="181"/>
    </row>
    <row r="241" spans="1:15">
      <c r="A241" s="100">
        <v>237</v>
      </c>
      <c r="B241" s="171" t="s">
        <v>396</v>
      </c>
      <c r="C241" s="95" t="s">
        <v>440</v>
      </c>
      <c r="D241" s="95" t="s">
        <v>356</v>
      </c>
      <c r="E241" s="172">
        <v>-1.5432134</v>
      </c>
      <c r="F241" s="172">
        <v>22.4004741</v>
      </c>
      <c r="G241" s="171" t="s">
        <v>398</v>
      </c>
      <c r="H241" s="171" t="s">
        <v>399</v>
      </c>
      <c r="I241" s="173" t="s">
        <v>400</v>
      </c>
      <c r="J241" s="173"/>
      <c r="K241" s="171" t="s">
        <v>401</v>
      </c>
      <c r="L241" s="171">
        <v>2016</v>
      </c>
      <c r="M241" s="171" t="s">
        <v>402</v>
      </c>
      <c r="N241" s="171" t="s">
        <v>403</v>
      </c>
      <c r="O241" s="181"/>
    </row>
    <row r="242" spans="1:15">
      <c r="A242" s="101">
        <v>238</v>
      </c>
      <c r="B242" s="168" t="s">
        <v>396</v>
      </c>
      <c r="C242" s="90" t="s">
        <v>440</v>
      </c>
      <c r="D242" s="90" t="s">
        <v>357</v>
      </c>
      <c r="E242" s="169">
        <v>-1.3231221</v>
      </c>
      <c r="F242" s="169">
        <v>22.3577482</v>
      </c>
      <c r="G242" s="168" t="s">
        <v>398</v>
      </c>
      <c r="H242" s="168" t="s">
        <v>399</v>
      </c>
      <c r="I242" s="170" t="s">
        <v>400</v>
      </c>
      <c r="J242" s="170"/>
      <c r="K242" s="168" t="s">
        <v>401</v>
      </c>
      <c r="L242" s="168">
        <v>2016</v>
      </c>
      <c r="M242" s="168" t="s">
        <v>402</v>
      </c>
      <c r="N242" s="168" t="s">
        <v>403</v>
      </c>
      <c r="O242" s="181"/>
    </row>
    <row r="243" spans="1:15">
      <c r="A243" s="100">
        <v>239</v>
      </c>
      <c r="B243" s="171" t="s">
        <v>396</v>
      </c>
      <c r="C243" s="95" t="s">
        <v>440</v>
      </c>
      <c r="D243" s="95" t="s">
        <v>358</v>
      </c>
      <c r="E243" s="171"/>
      <c r="F243" s="171"/>
      <c r="G243" s="171" t="s">
        <v>398</v>
      </c>
      <c r="H243" s="171" t="s">
        <v>399</v>
      </c>
      <c r="I243" s="171" t="s">
        <v>400</v>
      </c>
      <c r="J243" s="175"/>
      <c r="K243" s="171" t="s">
        <v>413</v>
      </c>
      <c r="L243" s="175">
        <v>2023</v>
      </c>
      <c r="M243" s="171" t="s">
        <v>402</v>
      </c>
      <c r="N243" s="171" t="s">
        <v>403</v>
      </c>
      <c r="O243" s="181"/>
    </row>
    <row r="244" spans="1:15">
      <c r="A244" s="101">
        <v>240</v>
      </c>
      <c r="B244" s="168" t="s">
        <v>396</v>
      </c>
      <c r="C244" s="90" t="s">
        <v>440</v>
      </c>
      <c r="D244" s="90" t="s">
        <v>359</v>
      </c>
      <c r="E244" s="169">
        <v>-0.6754093</v>
      </c>
      <c r="F244" s="169">
        <v>22.2741051</v>
      </c>
      <c r="G244" s="168" t="s">
        <v>398</v>
      </c>
      <c r="H244" s="168" t="s">
        <v>399</v>
      </c>
      <c r="I244" s="170" t="s">
        <v>400</v>
      </c>
      <c r="J244" s="170"/>
      <c r="K244" s="170" t="s">
        <v>404</v>
      </c>
      <c r="L244" s="176">
        <v>43347</v>
      </c>
      <c r="M244" s="168" t="s">
        <v>402</v>
      </c>
      <c r="N244" s="168" t="s">
        <v>403</v>
      </c>
      <c r="O244" s="181"/>
    </row>
    <row r="245" spans="1:15">
      <c r="A245" s="100">
        <v>241</v>
      </c>
      <c r="B245" s="171" t="s">
        <v>396</v>
      </c>
      <c r="C245" s="95" t="s">
        <v>440</v>
      </c>
      <c r="D245" s="95" t="s">
        <v>360</v>
      </c>
      <c r="E245" s="172">
        <v>-0.8261038</v>
      </c>
      <c r="F245" s="172">
        <v>22.4424766</v>
      </c>
      <c r="G245" s="171" t="s">
        <v>398</v>
      </c>
      <c r="H245" s="171" t="s">
        <v>399</v>
      </c>
      <c r="I245" s="173" t="s">
        <v>400</v>
      </c>
      <c r="J245" s="173"/>
      <c r="K245" s="171" t="s">
        <v>401</v>
      </c>
      <c r="L245" s="171">
        <v>2016</v>
      </c>
      <c r="M245" s="171" t="s">
        <v>402</v>
      </c>
      <c r="N245" s="171" t="s">
        <v>403</v>
      </c>
      <c r="O245" s="181"/>
    </row>
    <row r="246" spans="1:15">
      <c r="A246" s="101">
        <v>242</v>
      </c>
      <c r="B246" s="168" t="s">
        <v>396</v>
      </c>
      <c r="C246" s="90" t="s">
        <v>440</v>
      </c>
      <c r="D246" s="90" t="s">
        <v>361</v>
      </c>
      <c r="E246" s="169">
        <v>-1.4185447</v>
      </c>
      <c r="F246" s="169">
        <v>22.4963407</v>
      </c>
      <c r="G246" s="168" t="s">
        <v>398</v>
      </c>
      <c r="H246" s="168" t="s">
        <v>399</v>
      </c>
      <c r="I246" s="170" t="s">
        <v>400</v>
      </c>
      <c r="J246" s="170"/>
      <c r="K246" s="168" t="s">
        <v>401</v>
      </c>
      <c r="L246" s="168">
        <v>2016</v>
      </c>
      <c r="M246" s="168" t="s">
        <v>408</v>
      </c>
      <c r="N246" s="168" t="s">
        <v>403</v>
      </c>
      <c r="O246" s="181"/>
    </row>
    <row r="247" spans="1:15">
      <c r="A247" s="100">
        <v>243</v>
      </c>
      <c r="B247" s="171" t="s">
        <v>396</v>
      </c>
      <c r="C247" s="95" t="s">
        <v>440</v>
      </c>
      <c r="D247" s="95" t="s">
        <v>363</v>
      </c>
      <c r="E247" s="171"/>
      <c r="F247" s="171"/>
      <c r="G247" s="171" t="s">
        <v>398</v>
      </c>
      <c r="H247" s="171" t="s">
        <v>399</v>
      </c>
      <c r="I247" s="171" t="s">
        <v>400</v>
      </c>
      <c r="J247" s="171"/>
      <c r="K247" s="171" t="s">
        <v>413</v>
      </c>
      <c r="L247" s="171">
        <v>2023</v>
      </c>
      <c r="M247" s="171" t="s">
        <v>402</v>
      </c>
      <c r="N247" s="171" t="s">
        <v>403</v>
      </c>
      <c r="O247" s="181"/>
    </row>
    <row r="248" spans="1:15">
      <c r="A248" s="101">
        <v>244</v>
      </c>
      <c r="B248" s="168" t="s">
        <v>396</v>
      </c>
      <c r="C248" s="90" t="s">
        <v>440</v>
      </c>
      <c r="D248" s="90" t="s">
        <v>364</v>
      </c>
      <c r="E248" s="169">
        <v>-1.330975</v>
      </c>
      <c r="F248" s="169">
        <v>22.9169583</v>
      </c>
      <c r="G248" s="168" t="s">
        <v>398</v>
      </c>
      <c r="H248" s="168" t="s">
        <v>399</v>
      </c>
      <c r="I248" s="170" t="s">
        <v>400</v>
      </c>
      <c r="J248" s="170"/>
      <c r="K248" s="168" t="s">
        <v>401</v>
      </c>
      <c r="L248" s="168">
        <v>2016</v>
      </c>
      <c r="M248" s="168" t="s">
        <v>402</v>
      </c>
      <c r="N248" s="168" t="s">
        <v>403</v>
      </c>
      <c r="O248" s="181"/>
    </row>
    <row r="249" spans="1:15">
      <c r="A249" s="100">
        <v>245</v>
      </c>
      <c r="B249" s="171" t="s">
        <v>396</v>
      </c>
      <c r="C249" s="95" t="s">
        <v>440</v>
      </c>
      <c r="D249" s="95" t="s">
        <v>365</v>
      </c>
      <c r="E249" s="172">
        <v>-1.24087</v>
      </c>
      <c r="F249" s="172">
        <v>22.9013</v>
      </c>
      <c r="G249" s="171" t="s">
        <v>398</v>
      </c>
      <c r="H249" s="171" t="s">
        <v>399</v>
      </c>
      <c r="I249" s="173" t="s">
        <v>400</v>
      </c>
      <c r="J249" s="173"/>
      <c r="K249" s="171" t="s">
        <v>401</v>
      </c>
      <c r="L249" s="171">
        <v>2016</v>
      </c>
      <c r="M249" s="171" t="s">
        <v>402</v>
      </c>
      <c r="N249" s="171" t="s">
        <v>403</v>
      </c>
      <c r="O249" s="181"/>
    </row>
    <row r="250" spans="1:15">
      <c r="A250" s="101">
        <v>246</v>
      </c>
      <c r="B250" s="168" t="s">
        <v>396</v>
      </c>
      <c r="C250" s="90" t="s">
        <v>440</v>
      </c>
      <c r="D250" s="90" t="s">
        <v>366</v>
      </c>
      <c r="E250" s="169">
        <v>-1.1448783</v>
      </c>
      <c r="F250" s="169">
        <v>22.4710417</v>
      </c>
      <c r="G250" s="168" t="s">
        <v>398</v>
      </c>
      <c r="H250" s="168" t="s">
        <v>399</v>
      </c>
      <c r="I250" s="170" t="s">
        <v>400</v>
      </c>
      <c r="J250" s="170"/>
      <c r="K250" s="170" t="s">
        <v>404</v>
      </c>
      <c r="L250" s="176">
        <v>43348</v>
      </c>
      <c r="M250" s="168" t="s">
        <v>402</v>
      </c>
      <c r="N250" s="168" t="s">
        <v>403</v>
      </c>
      <c r="O250" s="181"/>
    </row>
    <row r="251" spans="1:15">
      <c r="A251" s="100">
        <v>247</v>
      </c>
      <c r="B251" s="171" t="s">
        <v>396</v>
      </c>
      <c r="C251" s="95" t="s">
        <v>440</v>
      </c>
      <c r="D251" s="95" t="s">
        <v>368</v>
      </c>
      <c r="E251" s="172">
        <v>-1.0924237</v>
      </c>
      <c r="F251" s="172">
        <v>22.3914789</v>
      </c>
      <c r="G251" s="171" t="s">
        <v>398</v>
      </c>
      <c r="H251" s="171" t="s">
        <v>399</v>
      </c>
      <c r="I251" s="171" t="s">
        <v>400</v>
      </c>
      <c r="J251" s="175"/>
      <c r="K251" s="171" t="s">
        <v>413</v>
      </c>
      <c r="L251" s="175">
        <v>2023</v>
      </c>
      <c r="M251" s="171" t="s">
        <v>402</v>
      </c>
      <c r="N251" s="171" t="s">
        <v>403</v>
      </c>
      <c r="O251" s="181"/>
    </row>
    <row r="252" spans="1:15">
      <c r="A252" s="101">
        <v>248</v>
      </c>
      <c r="B252" s="168" t="s">
        <v>396</v>
      </c>
      <c r="C252" s="90" t="s">
        <v>440</v>
      </c>
      <c r="D252" s="90" t="s">
        <v>369</v>
      </c>
      <c r="E252" s="169">
        <v>-1.8112754</v>
      </c>
      <c r="F252" s="169">
        <v>22.6283291</v>
      </c>
      <c r="G252" s="168" t="s">
        <v>398</v>
      </c>
      <c r="H252" s="168" t="s">
        <v>399</v>
      </c>
      <c r="I252" s="170" t="s">
        <v>400</v>
      </c>
      <c r="J252" s="170"/>
      <c r="K252" s="168" t="s">
        <v>401</v>
      </c>
      <c r="L252" s="168">
        <v>2016</v>
      </c>
      <c r="M252" s="168" t="s">
        <v>402</v>
      </c>
      <c r="N252" s="168"/>
      <c r="O252" s="181"/>
    </row>
    <row r="253" spans="1:15">
      <c r="A253" s="182">
        <v>249</v>
      </c>
      <c r="B253" s="183" t="s">
        <v>396</v>
      </c>
      <c r="C253" s="184" t="s">
        <v>440</v>
      </c>
      <c r="D253" s="184" t="s">
        <v>370</v>
      </c>
      <c r="E253" s="185">
        <v>-1.2402633</v>
      </c>
      <c r="F253" s="185">
        <v>22.8080767</v>
      </c>
      <c r="G253" s="183" t="s">
        <v>398</v>
      </c>
      <c r="H253" s="183" t="s">
        <v>399</v>
      </c>
      <c r="I253" s="183" t="s">
        <v>400</v>
      </c>
      <c r="J253" s="186" t="s">
        <v>442</v>
      </c>
      <c r="K253" s="187" t="s">
        <v>415</v>
      </c>
      <c r="L253" s="183">
        <v>2019</v>
      </c>
      <c r="M253" s="183" t="s">
        <v>408</v>
      </c>
      <c r="N253" s="183" t="s">
        <v>403</v>
      </c>
      <c r="O253" s="181"/>
    </row>
  </sheetData>
  <mergeCells count="1">
    <mergeCell ref="A2:A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V14"/>
  <sheetViews>
    <sheetView workbookViewId="0">
      <selection activeCell="C12" sqref="C12"/>
    </sheetView>
  </sheetViews>
  <sheetFormatPr defaultColWidth="8.90909090909091" defaultRowHeight="14.5"/>
  <cols>
    <col min="1" max="15" width="13" customWidth="1"/>
    <col min="16" max="16" width="22.1818181818182" customWidth="1"/>
    <col min="17" max="20" width="13" customWidth="1"/>
    <col min="21" max="21" width="20.1818181818182" customWidth="1"/>
  </cols>
  <sheetData>
    <row r="3" ht="58.75" spans="1:22">
      <c r="A3" s="149" t="s">
        <v>443</v>
      </c>
      <c r="B3" s="149" t="s">
        <v>444</v>
      </c>
      <c r="C3" s="149" t="s">
        <v>445</v>
      </c>
      <c r="D3" s="149" t="s">
        <v>446</v>
      </c>
      <c r="E3" s="149" t="s">
        <v>447</v>
      </c>
      <c r="F3" s="150" t="s">
        <v>448</v>
      </c>
      <c r="G3" s="150" t="s">
        <v>449</v>
      </c>
      <c r="H3" s="150" t="s">
        <v>450</v>
      </c>
      <c r="I3" s="149" t="s">
        <v>451</v>
      </c>
      <c r="J3" s="149" t="s">
        <v>452</v>
      </c>
      <c r="K3" s="149" t="s">
        <v>453</v>
      </c>
      <c r="L3" s="149" t="s">
        <v>454</v>
      </c>
      <c r="M3" s="149" t="s">
        <v>455</v>
      </c>
      <c r="N3" s="149" t="s">
        <v>456</v>
      </c>
      <c r="O3" s="149" t="s">
        <v>457</v>
      </c>
      <c r="P3" s="149" t="s">
        <v>458</v>
      </c>
      <c r="Q3" s="149" t="s">
        <v>459</v>
      </c>
      <c r="R3" s="149" t="s">
        <v>460</v>
      </c>
      <c r="S3" s="149" t="s">
        <v>461</v>
      </c>
      <c r="T3" s="149" t="s">
        <v>462</v>
      </c>
      <c r="U3" s="149" t="s">
        <v>463</v>
      </c>
    </row>
    <row r="4" spans="1:22">
      <c r="A4" s="151" t="s">
        <v>464</v>
      </c>
      <c r="B4" s="24">
        <v>304</v>
      </c>
      <c r="C4" s="24">
        <v>393</v>
      </c>
      <c r="D4" s="24">
        <v>393</v>
      </c>
      <c r="E4" s="24">
        <v>113</v>
      </c>
      <c r="F4" s="24">
        <v>186</v>
      </c>
      <c r="G4" s="24">
        <v>7</v>
      </c>
      <c r="H4" s="24">
        <v>0</v>
      </c>
      <c r="I4" s="24">
        <v>0</v>
      </c>
      <c r="J4" s="24">
        <v>0</v>
      </c>
      <c r="K4" s="24">
        <v>0</v>
      </c>
      <c r="L4" s="24">
        <v>10</v>
      </c>
      <c r="M4" s="24">
        <v>18</v>
      </c>
      <c r="N4" s="24">
        <v>0</v>
      </c>
      <c r="O4" s="24">
        <v>0</v>
      </c>
      <c r="P4" s="24">
        <v>258</v>
      </c>
      <c r="Q4" s="24">
        <v>81</v>
      </c>
      <c r="R4" s="24">
        <v>187</v>
      </c>
      <c r="S4" s="24">
        <v>97</v>
      </c>
      <c r="T4" s="24">
        <v>0</v>
      </c>
      <c r="U4" s="24">
        <v>3</v>
      </c>
    </row>
    <row r="5" spans="1:22">
      <c r="A5" s="152" t="s">
        <v>465</v>
      </c>
      <c r="B5" s="26">
        <v>170</v>
      </c>
      <c r="C5" s="26">
        <v>296</v>
      </c>
      <c r="D5" s="26">
        <v>296</v>
      </c>
      <c r="E5" s="26">
        <v>0</v>
      </c>
      <c r="F5" s="26">
        <v>12</v>
      </c>
      <c r="G5" s="26">
        <v>9</v>
      </c>
      <c r="H5" s="26">
        <v>0</v>
      </c>
      <c r="I5" s="26">
        <v>0</v>
      </c>
      <c r="J5" s="26">
        <v>0</v>
      </c>
      <c r="K5" s="26">
        <v>0</v>
      </c>
      <c r="L5" s="26">
        <v>15</v>
      </c>
      <c r="M5" s="26">
        <v>9</v>
      </c>
      <c r="N5" s="26">
        <v>0</v>
      </c>
      <c r="O5" s="26">
        <v>10</v>
      </c>
      <c r="P5" s="26">
        <v>32</v>
      </c>
      <c r="Q5" s="26">
        <v>14</v>
      </c>
      <c r="R5" s="26">
        <v>70</v>
      </c>
      <c r="S5" s="26">
        <v>40</v>
      </c>
      <c r="T5" s="26">
        <v>0</v>
      </c>
      <c r="U5" s="26">
        <v>11</v>
      </c>
    </row>
    <row r="6" spans="1:22">
      <c r="A6" s="153" t="s">
        <v>466</v>
      </c>
      <c r="B6" s="24">
        <v>323</v>
      </c>
      <c r="C6" s="24">
        <v>518</v>
      </c>
      <c r="D6" s="24">
        <v>518</v>
      </c>
      <c r="E6" s="24">
        <v>0</v>
      </c>
      <c r="F6" s="24">
        <v>121</v>
      </c>
      <c r="G6" s="24">
        <v>0</v>
      </c>
      <c r="H6" s="24">
        <v>0</v>
      </c>
      <c r="I6" s="24">
        <v>0</v>
      </c>
      <c r="J6" s="24">
        <v>0</v>
      </c>
      <c r="K6" s="24">
        <v>0</v>
      </c>
      <c r="L6" s="24">
        <v>5</v>
      </c>
      <c r="M6" s="24">
        <v>12</v>
      </c>
      <c r="N6" s="24">
        <v>0</v>
      </c>
      <c r="O6" s="24">
        <v>17</v>
      </c>
      <c r="P6" s="24">
        <v>329</v>
      </c>
      <c r="Q6" s="24">
        <v>7</v>
      </c>
      <c r="R6" s="24">
        <v>158</v>
      </c>
      <c r="S6" s="24">
        <v>95</v>
      </c>
      <c r="T6" s="24">
        <v>0</v>
      </c>
      <c r="U6" s="24">
        <v>0</v>
      </c>
    </row>
    <row r="7" spans="1:22">
      <c r="A7" s="152" t="s">
        <v>467</v>
      </c>
      <c r="B7" s="26">
        <v>156</v>
      </c>
      <c r="C7" s="26">
        <v>289</v>
      </c>
      <c r="D7" s="26">
        <v>174</v>
      </c>
      <c r="E7" s="26">
        <v>16</v>
      </c>
      <c r="F7" s="26">
        <v>11</v>
      </c>
      <c r="G7" s="26">
        <v>0</v>
      </c>
      <c r="H7" s="26">
        <v>0</v>
      </c>
      <c r="I7" s="26">
        <v>0</v>
      </c>
      <c r="J7" s="26">
        <v>0</v>
      </c>
      <c r="K7" s="26">
        <v>0</v>
      </c>
      <c r="L7" s="26">
        <v>23</v>
      </c>
      <c r="M7" s="26">
        <v>4</v>
      </c>
      <c r="N7" s="26">
        <v>0</v>
      </c>
      <c r="O7" s="26">
        <v>5</v>
      </c>
      <c r="P7" s="26">
        <v>244</v>
      </c>
      <c r="Q7" s="26">
        <v>5</v>
      </c>
      <c r="R7" s="26">
        <v>93</v>
      </c>
      <c r="S7" s="26">
        <v>81</v>
      </c>
      <c r="T7" s="26">
        <v>0</v>
      </c>
      <c r="U7" s="26">
        <v>1</v>
      </c>
    </row>
    <row r="8" spans="1:22">
      <c r="A8" s="153" t="s">
        <v>468</v>
      </c>
      <c r="B8" s="24">
        <v>186</v>
      </c>
      <c r="C8" s="24">
        <v>312</v>
      </c>
      <c r="D8" s="24">
        <v>312</v>
      </c>
      <c r="E8" s="24">
        <v>0</v>
      </c>
      <c r="F8" s="24">
        <v>50</v>
      </c>
      <c r="G8" s="24">
        <v>0</v>
      </c>
      <c r="H8" s="24">
        <v>0</v>
      </c>
      <c r="I8" s="24">
        <v>0</v>
      </c>
      <c r="J8" s="24">
        <v>0</v>
      </c>
      <c r="K8" s="24">
        <v>0</v>
      </c>
      <c r="L8" s="24">
        <v>2</v>
      </c>
      <c r="M8" s="24">
        <v>4</v>
      </c>
      <c r="N8" s="24">
        <v>0</v>
      </c>
      <c r="O8" s="24">
        <v>4</v>
      </c>
      <c r="P8" s="24">
        <v>255</v>
      </c>
      <c r="Q8" s="24">
        <v>25</v>
      </c>
      <c r="R8" s="24">
        <v>109</v>
      </c>
      <c r="S8" s="24">
        <v>47</v>
      </c>
      <c r="T8" s="24">
        <v>0</v>
      </c>
      <c r="U8" s="24">
        <v>1</v>
      </c>
    </row>
    <row r="9" spans="1:22">
      <c r="A9" s="152" t="s">
        <v>469</v>
      </c>
      <c r="B9" s="26">
        <v>218</v>
      </c>
      <c r="C9" s="26">
        <v>335</v>
      </c>
      <c r="D9" s="26">
        <v>335</v>
      </c>
      <c r="E9" s="26">
        <v>0</v>
      </c>
      <c r="F9" s="26">
        <v>56</v>
      </c>
      <c r="G9" s="26">
        <v>5</v>
      </c>
      <c r="H9" s="26">
        <v>0</v>
      </c>
      <c r="I9" s="26">
        <v>0</v>
      </c>
      <c r="J9" s="26">
        <v>0</v>
      </c>
      <c r="K9" s="26">
        <v>0</v>
      </c>
      <c r="L9" s="26">
        <v>18</v>
      </c>
      <c r="M9" s="26">
        <v>16</v>
      </c>
      <c r="N9" s="26">
        <v>0</v>
      </c>
      <c r="O9" s="26">
        <v>6</v>
      </c>
      <c r="P9" s="26">
        <v>185</v>
      </c>
      <c r="Q9" s="26">
        <v>58</v>
      </c>
      <c r="R9" s="26">
        <v>295</v>
      </c>
      <c r="S9" s="26">
        <v>125</v>
      </c>
      <c r="T9" s="26">
        <v>0</v>
      </c>
      <c r="U9" s="26">
        <v>0</v>
      </c>
    </row>
    <row r="10" spans="1:22">
      <c r="A10" s="153" t="s">
        <v>470</v>
      </c>
      <c r="B10" s="130">
        <v>492</v>
      </c>
      <c r="C10" s="130">
        <v>737</v>
      </c>
      <c r="D10" s="130">
        <v>589</v>
      </c>
      <c r="E10" s="130">
        <v>0</v>
      </c>
      <c r="F10" s="130">
        <v>144</v>
      </c>
      <c r="G10" s="130">
        <v>18</v>
      </c>
      <c r="H10" s="130">
        <v>0</v>
      </c>
      <c r="I10" s="130">
        <v>0</v>
      </c>
      <c r="J10" s="130">
        <v>0</v>
      </c>
      <c r="K10" s="130">
        <v>0</v>
      </c>
      <c r="L10" s="130">
        <v>42</v>
      </c>
      <c r="M10" s="130">
        <v>6</v>
      </c>
      <c r="N10" s="130">
        <v>0</v>
      </c>
      <c r="O10" s="130">
        <v>0</v>
      </c>
      <c r="P10" s="130">
        <v>455</v>
      </c>
      <c r="Q10" s="130">
        <v>245</v>
      </c>
      <c r="R10" s="130">
        <v>154</v>
      </c>
      <c r="S10" s="130">
        <v>91</v>
      </c>
      <c r="T10" s="130">
        <v>0</v>
      </c>
      <c r="U10" s="130">
        <v>2</v>
      </c>
    </row>
    <row r="11" spans="1:22">
      <c r="A11" s="152" t="s">
        <v>471</v>
      </c>
      <c r="B11" s="26">
        <v>223</v>
      </c>
      <c r="C11" s="26">
        <v>454</v>
      </c>
      <c r="D11" s="26">
        <v>249</v>
      </c>
      <c r="E11" s="26">
        <v>3</v>
      </c>
      <c r="F11" s="26">
        <v>25</v>
      </c>
      <c r="G11" s="26">
        <v>10</v>
      </c>
      <c r="H11" s="26">
        <v>0</v>
      </c>
      <c r="I11" s="26">
        <v>0</v>
      </c>
      <c r="J11" s="26">
        <v>0</v>
      </c>
      <c r="K11" s="26">
        <v>0</v>
      </c>
      <c r="L11" s="26">
        <v>55</v>
      </c>
      <c r="M11" s="26">
        <v>7</v>
      </c>
      <c r="N11" s="26">
        <v>0</v>
      </c>
      <c r="O11" s="26">
        <v>6</v>
      </c>
      <c r="P11" s="26">
        <v>430</v>
      </c>
      <c r="Q11" s="26">
        <v>89</v>
      </c>
      <c r="R11" s="26">
        <v>242</v>
      </c>
      <c r="S11" s="26">
        <v>127</v>
      </c>
      <c r="T11" s="26">
        <v>0</v>
      </c>
      <c r="U11" s="26" t="s">
        <v>472</v>
      </c>
    </row>
    <row r="12" spans="1:22">
      <c r="A12" s="153" t="s">
        <v>473</v>
      </c>
      <c r="B12" s="24">
        <v>128</v>
      </c>
      <c r="C12" s="24">
        <v>264</v>
      </c>
      <c r="D12" s="24">
        <v>264</v>
      </c>
      <c r="E12" s="24">
        <v>65</v>
      </c>
      <c r="F12" s="24">
        <v>53</v>
      </c>
      <c r="G12" s="24">
        <v>14</v>
      </c>
      <c r="H12" s="24">
        <v>0</v>
      </c>
      <c r="I12" s="24">
        <v>0</v>
      </c>
      <c r="J12" s="24">
        <v>0</v>
      </c>
      <c r="K12" s="24">
        <v>5</v>
      </c>
      <c r="L12" s="24">
        <v>56</v>
      </c>
      <c r="M12" s="24">
        <v>6</v>
      </c>
      <c r="N12" s="24">
        <v>0</v>
      </c>
      <c r="O12" s="24">
        <v>6</v>
      </c>
      <c r="P12" s="24">
        <v>374</v>
      </c>
      <c r="Q12" s="24">
        <v>27</v>
      </c>
      <c r="R12" s="24">
        <v>147</v>
      </c>
      <c r="S12" s="24">
        <v>74</v>
      </c>
      <c r="T12" s="24">
        <v>0</v>
      </c>
      <c r="U12" s="24">
        <v>4</v>
      </c>
      <c r="V12" t="s">
        <v>474</v>
      </c>
    </row>
    <row r="13" spans="1:22">
      <c r="A13" s="152" t="s">
        <v>475</v>
      </c>
      <c r="B13" s="26">
        <v>306</v>
      </c>
      <c r="C13" s="26">
        <v>306</v>
      </c>
      <c r="D13" s="26">
        <v>306</v>
      </c>
      <c r="E13" s="26">
        <v>0</v>
      </c>
      <c r="F13" s="26">
        <v>186</v>
      </c>
      <c r="G13" s="26">
        <v>7</v>
      </c>
      <c r="H13" s="26">
        <v>0</v>
      </c>
      <c r="I13" s="26">
        <v>0</v>
      </c>
      <c r="J13" s="26">
        <v>0</v>
      </c>
      <c r="K13" s="26">
        <v>0</v>
      </c>
      <c r="L13" s="26">
        <v>10</v>
      </c>
      <c r="M13" s="26">
        <v>18</v>
      </c>
      <c r="N13" s="26">
        <v>0</v>
      </c>
      <c r="O13" s="26">
        <v>0</v>
      </c>
      <c r="P13" s="26">
        <v>258</v>
      </c>
      <c r="Q13" s="26">
        <v>81</v>
      </c>
      <c r="R13" s="26">
        <v>187</v>
      </c>
      <c r="S13" s="26">
        <v>97</v>
      </c>
      <c r="T13" s="26">
        <v>0</v>
      </c>
      <c r="U13" s="26">
        <v>0</v>
      </c>
    </row>
    <row r="14" spans="1:22">
      <c r="A14" s="154" t="s">
        <v>476</v>
      </c>
      <c r="B14" s="155">
        <v>252</v>
      </c>
      <c r="C14" s="155">
        <v>265</v>
      </c>
      <c r="D14" s="155">
        <v>265</v>
      </c>
      <c r="E14" s="155">
        <v>0</v>
      </c>
      <c r="F14" s="155">
        <v>61</v>
      </c>
      <c r="G14" s="155">
        <v>0</v>
      </c>
      <c r="H14" s="155">
        <v>0</v>
      </c>
      <c r="I14" s="155">
        <v>0</v>
      </c>
      <c r="J14" s="155">
        <v>0</v>
      </c>
      <c r="K14" s="155">
        <v>0</v>
      </c>
      <c r="L14" s="155">
        <v>2</v>
      </c>
      <c r="M14" s="155">
        <v>10</v>
      </c>
      <c r="N14" s="155">
        <v>0</v>
      </c>
      <c r="O14" s="155">
        <v>12</v>
      </c>
      <c r="P14" s="155">
        <v>276</v>
      </c>
      <c r="Q14" s="155">
        <v>19</v>
      </c>
      <c r="R14" s="155">
        <v>173</v>
      </c>
      <c r="S14" s="155">
        <v>129</v>
      </c>
      <c r="T14" s="155">
        <v>0</v>
      </c>
      <c r="U14" s="155">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R19"/>
  <sheetViews>
    <sheetView workbookViewId="0">
      <selection activeCell="G9" sqref="G9"/>
    </sheetView>
  </sheetViews>
  <sheetFormatPr defaultColWidth="8.90909090909091" defaultRowHeight="14.5"/>
  <cols>
    <col min="1" max="10" width="17.0909090909091" style="1" customWidth="1"/>
    <col min="11" max="14" width="21.0909090909091" style="1" customWidth="1"/>
    <col min="15" max="18" width="17.0909090909091" style="1" customWidth="1"/>
  </cols>
  <sheetData>
    <row r="3" ht="29.75" spans="1:18">
      <c r="A3" s="18" t="s">
        <v>477</v>
      </c>
      <c r="B3" s="18" t="s">
        <v>478</v>
      </c>
      <c r="C3" s="18" t="s">
        <v>479</v>
      </c>
      <c r="D3" s="18" t="s">
        <v>480</v>
      </c>
      <c r="E3" s="18" t="s">
        <v>481</v>
      </c>
      <c r="F3" s="18" t="s">
        <v>482</v>
      </c>
      <c r="G3" s="18" t="s">
        <v>483</v>
      </c>
      <c r="H3" s="18" t="s">
        <v>484</v>
      </c>
      <c r="I3" s="18" t="s">
        <v>485</v>
      </c>
      <c r="J3" s="18" t="s">
        <v>486</v>
      </c>
      <c r="K3" s="18" t="s">
        <v>487</v>
      </c>
      <c r="L3" s="18" t="s">
        <v>488</v>
      </c>
      <c r="M3" s="18" t="s">
        <v>489</v>
      </c>
      <c r="N3" s="18" t="s">
        <v>490</v>
      </c>
      <c r="O3" s="18" t="s">
        <v>491</v>
      </c>
      <c r="P3" s="18" t="s">
        <v>492</v>
      </c>
      <c r="Q3" s="18" t="s">
        <v>493</v>
      </c>
      <c r="R3" s="18" t="s">
        <v>494</v>
      </c>
    </row>
    <row r="4" s="70" customFormat="1" ht="45" customHeight="1" spans="1:18">
      <c r="A4" s="144" t="s">
        <v>395</v>
      </c>
      <c r="B4" s="138" t="s">
        <v>495</v>
      </c>
      <c r="C4" s="138" t="s">
        <v>496</v>
      </c>
      <c r="D4" s="138" t="s">
        <v>497</v>
      </c>
      <c r="E4" s="138" t="s">
        <v>498</v>
      </c>
      <c r="F4" s="138" t="s">
        <v>499</v>
      </c>
      <c r="G4" s="145" t="s">
        <v>500</v>
      </c>
      <c r="H4" s="145" t="s">
        <v>500</v>
      </c>
      <c r="I4" s="145" t="s">
        <v>500</v>
      </c>
      <c r="J4" s="145" t="s">
        <v>500</v>
      </c>
      <c r="K4" s="138" t="s">
        <v>501</v>
      </c>
      <c r="L4" s="138" t="s">
        <v>501</v>
      </c>
      <c r="M4" s="138" t="s">
        <v>501</v>
      </c>
      <c r="N4" s="138" t="s">
        <v>501</v>
      </c>
      <c r="O4" s="145" t="s">
        <v>500</v>
      </c>
      <c r="P4" s="145" t="s">
        <v>500</v>
      </c>
      <c r="Q4" s="145" t="s">
        <v>500</v>
      </c>
      <c r="R4" s="145" t="s">
        <v>500</v>
      </c>
    </row>
    <row r="5" s="70" customFormat="1" ht="43.5" spans="1:18">
      <c r="A5" s="146" t="s">
        <v>22</v>
      </c>
      <c r="B5" s="110" t="s">
        <v>502</v>
      </c>
      <c r="C5" s="110" t="s">
        <v>503</v>
      </c>
      <c r="D5" s="110" t="s">
        <v>500</v>
      </c>
      <c r="E5" s="110" t="s">
        <v>504</v>
      </c>
      <c r="F5" s="110" t="s">
        <v>500</v>
      </c>
      <c r="G5" s="110" t="s">
        <v>500</v>
      </c>
      <c r="H5" s="110" t="s">
        <v>500</v>
      </c>
      <c r="I5" s="110" t="s">
        <v>500</v>
      </c>
      <c r="J5" s="110" t="s">
        <v>500</v>
      </c>
      <c r="K5" s="110" t="s">
        <v>505</v>
      </c>
      <c r="L5" s="110" t="s">
        <v>500</v>
      </c>
      <c r="M5" s="110" t="s">
        <v>500</v>
      </c>
      <c r="N5" s="110" t="s">
        <v>500</v>
      </c>
      <c r="O5" s="110" t="s">
        <v>500</v>
      </c>
      <c r="P5" s="110" t="s">
        <v>500</v>
      </c>
      <c r="Q5" s="110" t="s">
        <v>500</v>
      </c>
      <c r="R5" s="110" t="s">
        <v>500</v>
      </c>
    </row>
    <row r="6" s="70" customFormat="1" ht="116" spans="1:18">
      <c r="A6" s="147" t="s">
        <v>409</v>
      </c>
      <c r="B6" s="109" t="s">
        <v>506</v>
      </c>
      <c r="C6" s="109" t="s">
        <v>507</v>
      </c>
      <c r="D6" s="109" t="s">
        <v>500</v>
      </c>
      <c r="E6" s="109" t="s">
        <v>508</v>
      </c>
      <c r="F6" s="109" t="s">
        <v>500</v>
      </c>
      <c r="G6" s="109" t="s">
        <v>500</v>
      </c>
      <c r="H6" s="109" t="s">
        <v>500</v>
      </c>
      <c r="I6" s="109" t="s">
        <v>509</v>
      </c>
      <c r="J6" s="109" t="s">
        <v>500</v>
      </c>
      <c r="K6" s="109" t="s">
        <v>510</v>
      </c>
      <c r="L6" s="109" t="s">
        <v>510</v>
      </c>
      <c r="M6" s="109" t="s">
        <v>510</v>
      </c>
      <c r="N6" s="109" t="s">
        <v>510</v>
      </c>
      <c r="O6" s="109" t="s">
        <v>500</v>
      </c>
      <c r="P6" s="109" t="s">
        <v>500</v>
      </c>
      <c r="Q6" s="109" t="s">
        <v>500</v>
      </c>
      <c r="R6" s="109" t="s">
        <v>500</v>
      </c>
    </row>
    <row r="7" s="70" customFormat="1" ht="15.5" spans="1:18">
      <c r="A7" s="146" t="s">
        <v>410</v>
      </c>
      <c r="B7" s="110" t="s">
        <v>500</v>
      </c>
      <c r="C7" s="110" t="s">
        <v>500</v>
      </c>
      <c r="D7" s="110" t="s">
        <v>500</v>
      </c>
      <c r="E7" s="110" t="s">
        <v>500</v>
      </c>
      <c r="F7" s="110" t="s">
        <v>500</v>
      </c>
      <c r="G7" s="110" t="s">
        <v>500</v>
      </c>
      <c r="H7" s="110" t="s">
        <v>500</v>
      </c>
      <c r="I7" s="110" t="s">
        <v>500</v>
      </c>
      <c r="J7" s="110" t="s">
        <v>500</v>
      </c>
      <c r="K7" s="110" t="s">
        <v>500</v>
      </c>
      <c r="L7" s="110" t="s">
        <v>500</v>
      </c>
      <c r="M7" s="110" t="s">
        <v>500</v>
      </c>
      <c r="N7" s="110" t="s">
        <v>500</v>
      </c>
      <c r="O7" s="110" t="s">
        <v>500</v>
      </c>
      <c r="P7" s="110" t="s">
        <v>500</v>
      </c>
      <c r="Q7" s="110" t="s">
        <v>500</v>
      </c>
      <c r="R7" s="110" t="s">
        <v>500</v>
      </c>
    </row>
    <row r="8" s="70" customFormat="1" ht="29" spans="1:18">
      <c r="A8" s="147" t="s">
        <v>414</v>
      </c>
      <c r="B8" s="109" t="s">
        <v>495</v>
      </c>
      <c r="C8" s="109" t="s">
        <v>496</v>
      </c>
      <c r="D8" s="109" t="s">
        <v>497</v>
      </c>
      <c r="E8" s="109" t="s">
        <v>498</v>
      </c>
      <c r="F8" s="109" t="s">
        <v>499</v>
      </c>
      <c r="G8" s="109" t="s">
        <v>500</v>
      </c>
      <c r="H8" s="109" t="s">
        <v>500</v>
      </c>
      <c r="I8" s="109" t="s">
        <v>500</v>
      </c>
      <c r="J8" s="109" t="s">
        <v>500</v>
      </c>
      <c r="K8" s="109" t="s">
        <v>501</v>
      </c>
      <c r="L8" s="109" t="s">
        <v>501</v>
      </c>
      <c r="M8" s="109" t="s">
        <v>501</v>
      </c>
      <c r="N8" s="109" t="s">
        <v>501</v>
      </c>
      <c r="O8" s="109" t="s">
        <v>500</v>
      </c>
      <c r="P8" s="109" t="s">
        <v>500</v>
      </c>
      <c r="Q8" s="109" t="s">
        <v>500</v>
      </c>
      <c r="R8" s="109" t="s">
        <v>500</v>
      </c>
    </row>
    <row r="9" s="70" customFormat="1" ht="58" spans="1:18">
      <c r="A9" s="146" t="s">
        <v>416</v>
      </c>
      <c r="B9" s="110" t="s">
        <v>511</v>
      </c>
      <c r="C9" s="110" t="s">
        <v>512</v>
      </c>
      <c r="D9" s="110"/>
      <c r="E9" s="110" t="s">
        <v>513</v>
      </c>
      <c r="F9" s="110"/>
      <c r="G9" s="110" t="s">
        <v>500</v>
      </c>
      <c r="H9" s="110" t="s">
        <v>500</v>
      </c>
      <c r="I9" s="110" t="s">
        <v>500</v>
      </c>
      <c r="J9" s="110" t="s">
        <v>500</v>
      </c>
      <c r="K9" s="110" t="s">
        <v>500</v>
      </c>
      <c r="L9" s="110" t="s">
        <v>514</v>
      </c>
      <c r="M9" s="110" t="s">
        <v>514</v>
      </c>
      <c r="N9" s="110" t="s">
        <v>500</v>
      </c>
      <c r="O9" s="110" t="s">
        <v>500</v>
      </c>
      <c r="P9" s="110" t="s">
        <v>500</v>
      </c>
      <c r="Q9" s="110" t="s">
        <v>500</v>
      </c>
      <c r="R9" s="110" t="s">
        <v>500</v>
      </c>
    </row>
    <row r="10" s="70" customFormat="1" ht="15.5" spans="1:18">
      <c r="A10" s="147" t="s">
        <v>406</v>
      </c>
      <c r="B10" s="109" t="s">
        <v>500</v>
      </c>
      <c r="C10" s="109" t="s">
        <v>515</v>
      </c>
      <c r="D10" s="109" t="s">
        <v>500</v>
      </c>
      <c r="E10" s="109" t="s">
        <v>515</v>
      </c>
      <c r="F10" s="109" t="s">
        <v>500</v>
      </c>
      <c r="G10" s="109" t="s">
        <v>500</v>
      </c>
      <c r="H10" s="109" t="s">
        <v>500</v>
      </c>
      <c r="I10" s="109" t="s">
        <v>500</v>
      </c>
      <c r="J10" s="109" t="s">
        <v>515</v>
      </c>
      <c r="K10" s="109" t="s">
        <v>500</v>
      </c>
      <c r="L10" s="109" t="s">
        <v>500</v>
      </c>
      <c r="M10" s="109" t="s">
        <v>515</v>
      </c>
      <c r="N10" s="109" t="s">
        <v>500</v>
      </c>
      <c r="O10" s="109" t="s">
        <v>500</v>
      </c>
      <c r="P10" s="109" t="s">
        <v>500</v>
      </c>
      <c r="Q10" s="109" t="s">
        <v>500</v>
      </c>
      <c r="R10" s="109" t="s">
        <v>500</v>
      </c>
    </row>
    <row r="11" s="70" customFormat="1" ht="43.5" spans="1:18">
      <c r="A11" s="146" t="s">
        <v>137</v>
      </c>
      <c r="B11" s="110" t="s">
        <v>495</v>
      </c>
      <c r="C11" s="110" t="s">
        <v>516</v>
      </c>
      <c r="D11" s="110" t="s">
        <v>497</v>
      </c>
      <c r="E11" s="110" t="s">
        <v>517</v>
      </c>
      <c r="F11" s="110" t="s">
        <v>500</v>
      </c>
      <c r="G11" s="110" t="s">
        <v>500</v>
      </c>
      <c r="H11" s="110" t="s">
        <v>518</v>
      </c>
      <c r="I11" s="110" t="s">
        <v>500</v>
      </c>
      <c r="J11" s="110" t="s">
        <v>500</v>
      </c>
      <c r="K11" s="110" t="s">
        <v>500</v>
      </c>
      <c r="L11" s="110" t="s">
        <v>500</v>
      </c>
      <c r="M11" s="110" t="s">
        <v>500</v>
      </c>
      <c r="N11" s="110" t="s">
        <v>500</v>
      </c>
      <c r="O11" s="110" t="s">
        <v>500</v>
      </c>
      <c r="P11" s="110" t="s">
        <v>500</v>
      </c>
      <c r="Q11" s="110" t="s">
        <v>500</v>
      </c>
      <c r="R11" s="110" t="s">
        <v>500</v>
      </c>
    </row>
    <row r="12" s="70" customFormat="1" ht="76" customHeight="1" spans="1:18">
      <c r="A12" s="147" t="s">
        <v>519</v>
      </c>
      <c r="B12" s="109" t="s">
        <v>520</v>
      </c>
      <c r="C12" s="109" t="s">
        <v>521</v>
      </c>
      <c r="D12" s="109" t="s">
        <v>500</v>
      </c>
      <c r="E12" s="109" t="s">
        <v>521</v>
      </c>
      <c r="F12" s="109" t="s">
        <v>522</v>
      </c>
      <c r="G12" s="109" t="s">
        <v>500</v>
      </c>
      <c r="H12" s="109" t="s">
        <v>500</v>
      </c>
      <c r="I12" s="109" t="s">
        <v>523</v>
      </c>
      <c r="J12" s="109" t="s">
        <v>523</v>
      </c>
      <c r="K12" s="109" t="s">
        <v>524</v>
      </c>
      <c r="L12" s="109" t="s">
        <v>500</v>
      </c>
      <c r="M12" s="109" t="s">
        <v>524</v>
      </c>
      <c r="N12" s="109" t="s">
        <v>500</v>
      </c>
      <c r="O12" s="109" t="s">
        <v>525</v>
      </c>
      <c r="P12" s="109" t="s">
        <v>526</v>
      </c>
      <c r="Q12" s="109" t="s">
        <v>500</v>
      </c>
      <c r="R12" s="109" t="s">
        <v>500</v>
      </c>
    </row>
    <row r="13" s="70" customFormat="1" ht="116" spans="1:18">
      <c r="A13" s="146" t="s">
        <v>527</v>
      </c>
      <c r="B13" s="110" t="s">
        <v>528</v>
      </c>
      <c r="C13" s="110" t="s">
        <v>529</v>
      </c>
      <c r="D13" s="110" t="s">
        <v>500</v>
      </c>
      <c r="E13" s="110" t="s">
        <v>500</v>
      </c>
      <c r="F13" s="110" t="s">
        <v>530</v>
      </c>
      <c r="G13" s="110" t="s">
        <v>530</v>
      </c>
      <c r="H13" s="110" t="s">
        <v>531</v>
      </c>
      <c r="I13" s="110" t="s">
        <v>532</v>
      </c>
      <c r="J13" s="110" t="s">
        <v>532</v>
      </c>
      <c r="K13" s="110" t="s">
        <v>500</v>
      </c>
      <c r="L13" s="110" t="s">
        <v>533</v>
      </c>
      <c r="M13" s="110" t="s">
        <v>533</v>
      </c>
      <c r="N13" s="110" t="s">
        <v>500</v>
      </c>
      <c r="O13" s="110" t="s">
        <v>500</v>
      </c>
      <c r="P13" s="110" t="s">
        <v>500</v>
      </c>
      <c r="Q13" s="110" t="s">
        <v>500</v>
      </c>
      <c r="R13" s="110" t="s">
        <v>500</v>
      </c>
    </row>
    <row r="14" s="70" customFormat="1" ht="70" customHeight="1" spans="1:18">
      <c r="A14" s="147" t="s">
        <v>412</v>
      </c>
      <c r="B14" s="109" t="s">
        <v>534</v>
      </c>
      <c r="C14" s="109" t="s">
        <v>500</v>
      </c>
      <c r="D14" s="109" t="s">
        <v>500</v>
      </c>
      <c r="E14" s="109" t="s">
        <v>535</v>
      </c>
      <c r="F14" s="109" t="s">
        <v>500</v>
      </c>
      <c r="G14" s="109" t="s">
        <v>500</v>
      </c>
      <c r="H14" s="109" t="s">
        <v>500</v>
      </c>
      <c r="I14" s="109" t="s">
        <v>500</v>
      </c>
      <c r="J14" s="109" t="s">
        <v>500</v>
      </c>
      <c r="K14" s="109" t="s">
        <v>500</v>
      </c>
      <c r="L14" s="109" t="s">
        <v>500</v>
      </c>
      <c r="M14" s="109" t="s">
        <v>500</v>
      </c>
      <c r="N14" s="109" t="s">
        <v>500</v>
      </c>
      <c r="O14" s="109" t="s">
        <v>500</v>
      </c>
      <c r="P14" s="109" t="s">
        <v>500</v>
      </c>
      <c r="Q14" s="109" t="s">
        <v>536</v>
      </c>
      <c r="R14" s="109" t="s">
        <v>536</v>
      </c>
    </row>
    <row r="15" s="70" customFormat="1" ht="58" spans="1:18">
      <c r="A15" s="148" t="s">
        <v>537</v>
      </c>
      <c r="B15" s="142" t="s">
        <v>534</v>
      </c>
      <c r="C15" s="142" t="s">
        <v>538</v>
      </c>
      <c r="D15" s="142" t="s">
        <v>500</v>
      </c>
      <c r="E15" s="142" t="s">
        <v>535</v>
      </c>
      <c r="F15" s="142" t="s">
        <v>539</v>
      </c>
      <c r="G15" s="142" t="s">
        <v>500</v>
      </c>
      <c r="H15" s="142" t="s">
        <v>500</v>
      </c>
      <c r="I15" s="142" t="s">
        <v>500</v>
      </c>
      <c r="J15" s="142" t="s">
        <v>500</v>
      </c>
      <c r="K15" s="142" t="s">
        <v>500</v>
      </c>
      <c r="L15" s="142" t="s">
        <v>500</v>
      </c>
      <c r="M15" s="142" t="s">
        <v>500</v>
      </c>
      <c r="N15" s="142" t="s">
        <v>500</v>
      </c>
      <c r="O15" s="142" t="s">
        <v>500</v>
      </c>
      <c r="P15" s="142" t="s">
        <v>500</v>
      </c>
      <c r="Q15" s="142" t="s">
        <v>536</v>
      </c>
      <c r="R15" s="142" t="s">
        <v>500</v>
      </c>
    </row>
    <row r="19" spans="11:11">
      <c r="K19" s="142"/>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16"/>
  <sheetViews>
    <sheetView workbookViewId="0">
      <selection activeCell="F12" sqref="F12"/>
    </sheetView>
  </sheetViews>
  <sheetFormatPr defaultColWidth="8.90909090909091" defaultRowHeight="14.5"/>
  <cols>
    <col min="1" max="1" width="14.1818181818182" style="70" customWidth="1"/>
    <col min="2" max="2" width="36.3636363636364" style="70" customWidth="1"/>
    <col min="3" max="3" width="8.90909090909091" style="70"/>
    <col min="4" max="4" width="30" style="70" customWidth="1"/>
    <col min="5" max="5" width="29" style="70" customWidth="1"/>
    <col min="6" max="6" width="20.4545454545455" style="70" customWidth="1"/>
    <col min="7" max="7" width="23.8181818181818" style="70" customWidth="1"/>
    <col min="8" max="11" width="8.90909090909091" style="70"/>
  </cols>
  <sheetData>
    <row r="2" ht="29.75" spans="1:11">
      <c r="A2" s="81" t="s">
        <v>540</v>
      </c>
      <c r="B2" s="81" t="s">
        <v>541</v>
      </c>
      <c r="C2" s="81" t="s">
        <v>542</v>
      </c>
      <c r="D2" s="81" t="s">
        <v>543</v>
      </c>
      <c r="E2" s="81" t="s">
        <v>544</v>
      </c>
      <c r="F2" s="81" t="s">
        <v>545</v>
      </c>
      <c r="G2" s="81" t="s">
        <v>546</v>
      </c>
      <c r="H2" s="81" t="s">
        <v>547</v>
      </c>
      <c r="I2" s="81" t="s">
        <v>548</v>
      </c>
      <c r="J2" s="81" t="s">
        <v>549</v>
      </c>
      <c r="K2" s="81" t="s">
        <v>550</v>
      </c>
    </row>
    <row r="3" ht="29" customHeight="1" spans="1:11">
      <c r="A3" s="138" t="s">
        <v>551</v>
      </c>
      <c r="B3" s="139" t="s">
        <v>552</v>
      </c>
      <c r="C3" s="139"/>
      <c r="D3" s="139" t="s">
        <v>553</v>
      </c>
      <c r="E3" s="139">
        <v>994930634</v>
      </c>
      <c r="F3" s="139" t="s">
        <v>554</v>
      </c>
      <c r="G3" s="139" t="s">
        <v>416</v>
      </c>
      <c r="H3" s="139"/>
      <c r="I3" s="139"/>
      <c r="J3" s="139"/>
      <c r="K3" s="139"/>
    </row>
    <row r="4" ht="29" customHeight="1" spans="1:11">
      <c r="A4" s="110" t="s">
        <v>551</v>
      </c>
      <c r="B4" s="140" t="s">
        <v>555</v>
      </c>
      <c r="C4" s="140"/>
      <c r="D4" s="140" t="s">
        <v>556</v>
      </c>
      <c r="E4" s="140">
        <v>816384042</v>
      </c>
      <c r="F4" s="140" t="s">
        <v>554</v>
      </c>
      <c r="G4" s="140" t="s">
        <v>395</v>
      </c>
      <c r="H4" s="140"/>
      <c r="I4" s="140"/>
      <c r="J4" s="140"/>
      <c r="K4" s="140"/>
    </row>
    <row r="5" ht="29" customHeight="1" spans="1:11">
      <c r="A5" s="109" t="s">
        <v>551</v>
      </c>
      <c r="B5" s="141" t="s">
        <v>557</v>
      </c>
      <c r="C5" s="141"/>
      <c r="D5" s="141" t="s">
        <v>558</v>
      </c>
      <c r="E5" s="141">
        <v>816945783</v>
      </c>
      <c r="F5" s="141" t="s">
        <v>554</v>
      </c>
      <c r="G5" s="141" t="s">
        <v>414</v>
      </c>
      <c r="H5" s="141"/>
      <c r="I5" s="141"/>
      <c r="J5" s="141"/>
      <c r="K5" s="141"/>
    </row>
    <row r="6" ht="29" customHeight="1" spans="1:11">
      <c r="A6" s="110" t="s">
        <v>551</v>
      </c>
      <c r="B6" s="140" t="s">
        <v>559</v>
      </c>
      <c r="C6" s="140"/>
      <c r="D6" s="140" t="s">
        <v>560</v>
      </c>
      <c r="E6" s="140">
        <v>817765810</v>
      </c>
      <c r="F6" s="140" t="s">
        <v>554</v>
      </c>
      <c r="G6" s="140" t="s">
        <v>527</v>
      </c>
      <c r="H6" s="140"/>
      <c r="I6" s="140"/>
      <c r="J6" s="140"/>
      <c r="K6" s="140"/>
    </row>
    <row r="7" ht="29" customHeight="1" spans="1:11">
      <c r="A7" s="109" t="s">
        <v>551</v>
      </c>
      <c r="B7" s="141" t="s">
        <v>561</v>
      </c>
      <c r="C7" s="141"/>
      <c r="D7" s="141" t="s">
        <v>562</v>
      </c>
      <c r="E7" s="141">
        <v>827344376</v>
      </c>
      <c r="F7" s="141" t="s">
        <v>554</v>
      </c>
      <c r="G7" s="141" t="s">
        <v>409</v>
      </c>
      <c r="H7" s="141"/>
      <c r="I7" s="141"/>
      <c r="J7" s="141"/>
      <c r="K7" s="141"/>
    </row>
    <row r="8" ht="29" customHeight="1" spans="1:11">
      <c r="A8" s="110" t="s">
        <v>551</v>
      </c>
      <c r="B8" s="140" t="s">
        <v>563</v>
      </c>
      <c r="C8" s="140"/>
      <c r="D8" s="140" t="s">
        <v>564</v>
      </c>
      <c r="E8" s="140">
        <v>978084468</v>
      </c>
      <c r="F8" s="140" t="s">
        <v>554</v>
      </c>
      <c r="G8" s="140" t="s">
        <v>137</v>
      </c>
      <c r="H8" s="140"/>
      <c r="I8" s="140"/>
      <c r="J8" s="140"/>
      <c r="K8" s="140"/>
    </row>
    <row r="9" ht="29" customHeight="1" spans="1:11">
      <c r="A9" s="109" t="s">
        <v>551</v>
      </c>
      <c r="B9" s="141" t="s">
        <v>565</v>
      </c>
      <c r="C9" s="141"/>
      <c r="D9" s="141" t="s">
        <v>566</v>
      </c>
      <c r="E9" s="141">
        <v>810059727</v>
      </c>
      <c r="F9" s="141" t="s">
        <v>554</v>
      </c>
      <c r="G9" s="141" t="s">
        <v>406</v>
      </c>
      <c r="H9" s="141"/>
      <c r="I9" s="141"/>
      <c r="J9" s="141"/>
      <c r="K9" s="141"/>
    </row>
    <row r="10" ht="29" customHeight="1" spans="1:11">
      <c r="A10" s="110" t="s">
        <v>551</v>
      </c>
      <c r="B10" s="140" t="s">
        <v>567</v>
      </c>
      <c r="C10" s="140"/>
      <c r="D10" s="140" t="s">
        <v>568</v>
      </c>
      <c r="E10" s="140"/>
      <c r="F10" s="140" t="s">
        <v>554</v>
      </c>
      <c r="G10" s="140" t="s">
        <v>412</v>
      </c>
      <c r="H10" s="140"/>
      <c r="I10" s="140"/>
      <c r="J10" s="140"/>
      <c r="K10" s="140"/>
    </row>
    <row r="11" ht="29" customHeight="1" spans="1:11">
      <c r="A11" s="109" t="s">
        <v>569</v>
      </c>
      <c r="B11" s="141" t="s">
        <v>570</v>
      </c>
      <c r="C11" s="141"/>
      <c r="D11" s="141" t="s">
        <v>571</v>
      </c>
      <c r="E11" s="141" t="s">
        <v>572</v>
      </c>
      <c r="F11" s="141" t="s">
        <v>554</v>
      </c>
      <c r="G11" s="141" t="s">
        <v>519</v>
      </c>
      <c r="H11" s="141"/>
      <c r="I11" s="141"/>
      <c r="J11" s="141"/>
      <c r="K11" s="141"/>
    </row>
    <row r="12" ht="29" customHeight="1" spans="1:11">
      <c r="A12" s="110" t="s">
        <v>569</v>
      </c>
      <c r="B12" s="140" t="s">
        <v>573</v>
      </c>
      <c r="C12" s="140"/>
      <c r="D12" s="140" t="s">
        <v>574</v>
      </c>
      <c r="E12" s="140" t="s">
        <v>575</v>
      </c>
      <c r="F12" s="140" t="s">
        <v>554</v>
      </c>
      <c r="G12" s="140" t="s">
        <v>410</v>
      </c>
      <c r="H12" s="140"/>
      <c r="I12" s="140"/>
      <c r="J12" s="140"/>
      <c r="K12" s="140"/>
    </row>
    <row r="13" ht="29" customHeight="1" spans="1:11">
      <c r="A13" s="109" t="s">
        <v>569</v>
      </c>
      <c r="B13" s="141" t="s">
        <v>576</v>
      </c>
      <c r="C13" s="141"/>
      <c r="D13" s="141" t="s">
        <v>577</v>
      </c>
      <c r="E13" s="141" t="s">
        <v>578</v>
      </c>
      <c r="F13" s="141" t="s">
        <v>554</v>
      </c>
      <c r="G13" s="141" t="s">
        <v>412</v>
      </c>
      <c r="H13" s="141"/>
      <c r="I13" s="141"/>
      <c r="J13" s="141"/>
      <c r="K13" s="141"/>
    </row>
    <row r="14" ht="29" customHeight="1" spans="1:11">
      <c r="A14" s="110" t="s">
        <v>579</v>
      </c>
      <c r="B14" s="140" t="s">
        <v>580</v>
      </c>
      <c r="C14" s="140"/>
      <c r="D14" s="140" t="s">
        <v>581</v>
      </c>
      <c r="E14" s="140" t="s">
        <v>582</v>
      </c>
      <c r="F14" s="140" t="s">
        <v>554</v>
      </c>
      <c r="G14" s="140" t="s">
        <v>22</v>
      </c>
      <c r="H14" s="140"/>
      <c r="I14" s="140"/>
      <c r="J14" s="140"/>
      <c r="K14" s="140"/>
    </row>
    <row r="15" ht="29" customHeight="1" spans="1:11">
      <c r="A15" s="109" t="s">
        <v>583</v>
      </c>
      <c r="B15" s="141" t="s">
        <v>584</v>
      </c>
      <c r="C15" s="141"/>
      <c r="D15" s="141" t="s">
        <v>585</v>
      </c>
      <c r="E15" s="141" t="s">
        <v>586</v>
      </c>
      <c r="F15" s="141" t="s">
        <v>554</v>
      </c>
      <c r="G15" s="141" t="s">
        <v>22</v>
      </c>
      <c r="H15" s="141"/>
      <c r="I15" s="141"/>
      <c r="J15" s="141"/>
      <c r="K15" s="141"/>
    </row>
    <row r="16" ht="29" customHeight="1" spans="1:11">
      <c r="A16" s="142" t="s">
        <v>583</v>
      </c>
      <c r="B16" s="143" t="s">
        <v>587</v>
      </c>
      <c r="C16" s="143"/>
      <c r="D16" s="143" t="s">
        <v>588</v>
      </c>
      <c r="E16" s="143" t="s">
        <v>589</v>
      </c>
      <c r="F16" s="143" t="s">
        <v>554</v>
      </c>
      <c r="G16" s="143" t="s">
        <v>137</v>
      </c>
      <c r="H16" s="143"/>
      <c r="I16" s="143"/>
      <c r="J16" s="143"/>
      <c r="K16" s="143"/>
    </row>
  </sheetData>
  <hyperlinks>
    <hyperlink ref="D3" r:id="rId1" display="ahukafama1975@gmail.com" tooltip="mailto:ahukafama1975@gmail.com"/>
    <hyperlink ref="D4" r:id="rId2" display="pamphilejlmbonda@gmail.com" tooltip="mailto:pamphilejlmbonda@gmail.com"/>
    <hyperlink ref="D5" r:id="rId3" display="gedeonsiama@gmail.com" tooltip="mailto:gedeonsiama@gmail.com"/>
    <hyperlink ref="D6" r:id="rId4" display="gedeonmushadi0@gmail.com" tooltip="mailto:gedeonmushadi0@gmail.com"/>
    <hyperlink ref="D7" r:id="rId5" display="nsampiandredesire@gmail.com" tooltip="mailto:nsampiandredesire@gmail.com"/>
    <hyperlink ref="D8" r:id="rId6" display="xaviermpia5@gmail.com" tooltip="mailto:xaviermpia5@gmail.com"/>
    <hyperlink ref="D9" r:id="rId7" display="rtshibangu89@gmail.com" tooltip="mailto:rtshibangu89@gmail.com"/>
    <hyperlink ref="D10" r:id="rId8" display="gedeon.mufabure@gmail.com" tooltip="mailto:gedeon.mufabure@gmail.com"/>
    <hyperlink ref="D11" r:id="rId9" display="Freddymupadi07@gmail.com" tooltip="mailto:Freddymupadi07@gmail.com"/>
    <hyperlink ref="D12" r:id="rId10" display="drsamuelosinga@gmail.com" tooltip="mailto:drsamuelosinga@gmail.com"/>
    <hyperlink ref="D13" r:id="rId11" display="yanlusamba1900@gmail.com" tooltip="mailto:yanlusamba1900@gmail.com"/>
    <hyperlink ref="D14" r:id="rId12" display="manzolic80@gmail.com" tooltip="mailto:manzolic80@gmail.com"/>
    <hyperlink ref="D15" r:id="rId13" display="gaboul2002@yahoo.fr" tooltip="mailto:gaboul2002@yahoo.fr"/>
    <hyperlink ref="D16" r:id="rId14" display="sermupela@gmail.com" tooltip="mailto:sermupela@gmail.com"/>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AH17"/>
  <sheetViews>
    <sheetView topLeftCell="AD1" workbookViewId="0">
      <selection activeCell="AG11" sqref="AG11"/>
    </sheetView>
  </sheetViews>
  <sheetFormatPr defaultColWidth="8.90909090909091" defaultRowHeight="14.5"/>
  <cols>
    <col min="1" max="1" width="6.45454545454545" customWidth="1"/>
    <col min="2" max="2" width="17.8181818181818" customWidth="1"/>
    <col min="3" max="34" width="30" style="1" customWidth="1"/>
  </cols>
  <sheetData>
    <row r="3" s="111" customFormat="1" ht="21.75" spans="1:34">
      <c r="A3" s="112" t="s">
        <v>590</v>
      </c>
      <c r="B3" s="113" t="s">
        <v>443</v>
      </c>
      <c r="C3" s="114" t="s">
        <v>591</v>
      </c>
      <c r="D3" s="114"/>
      <c r="E3" s="114"/>
      <c r="F3" s="114"/>
      <c r="G3" s="115" t="s">
        <v>592</v>
      </c>
      <c r="H3" s="115"/>
      <c r="I3" s="115"/>
      <c r="J3" s="115"/>
      <c r="K3" s="116" t="s">
        <v>593</v>
      </c>
      <c r="L3" s="116"/>
      <c r="M3" s="116"/>
      <c r="N3" s="116"/>
      <c r="O3" s="117" t="s">
        <v>594</v>
      </c>
      <c r="P3" s="117"/>
      <c r="Q3" s="117"/>
      <c r="R3" s="117"/>
      <c r="S3" s="83" t="s">
        <v>595</v>
      </c>
      <c r="T3" s="83"/>
      <c r="U3" s="83"/>
      <c r="V3" s="83"/>
      <c r="W3" s="118" t="s">
        <v>596</v>
      </c>
      <c r="X3" s="118"/>
      <c r="Y3" s="118"/>
      <c r="Z3" s="118"/>
      <c r="AA3" s="117" t="s">
        <v>597</v>
      </c>
      <c r="AB3" s="117"/>
      <c r="AC3" s="117"/>
      <c r="AD3" s="117"/>
      <c r="AE3" s="119" t="s">
        <v>598</v>
      </c>
      <c r="AF3" s="119"/>
      <c r="AG3" s="119"/>
      <c r="AH3" s="119"/>
    </row>
    <row r="4" ht="29.75" spans="1:34">
      <c r="A4" s="112"/>
      <c r="B4" s="113"/>
      <c r="C4" s="120" t="s">
        <v>599</v>
      </c>
      <c r="D4" s="121" t="s">
        <v>600</v>
      </c>
      <c r="E4" s="122" t="s">
        <v>601</v>
      </c>
      <c r="F4" s="123" t="s">
        <v>602</v>
      </c>
      <c r="G4" s="120" t="s">
        <v>599</v>
      </c>
      <c r="H4" s="121" t="s">
        <v>600</v>
      </c>
      <c r="I4" s="122" t="s">
        <v>601</v>
      </c>
      <c r="J4" s="123" t="s">
        <v>602</v>
      </c>
      <c r="K4" s="120" t="s">
        <v>599</v>
      </c>
      <c r="L4" s="121" t="s">
        <v>600</v>
      </c>
      <c r="M4" s="122" t="s">
        <v>601</v>
      </c>
      <c r="N4" s="123" t="s">
        <v>602</v>
      </c>
      <c r="O4" s="120" t="s">
        <v>599</v>
      </c>
      <c r="P4" s="121" t="s">
        <v>600</v>
      </c>
      <c r="Q4" s="122" t="s">
        <v>601</v>
      </c>
      <c r="R4" s="123" t="s">
        <v>602</v>
      </c>
      <c r="S4" s="120" t="s">
        <v>599</v>
      </c>
      <c r="T4" s="121" t="s">
        <v>600</v>
      </c>
      <c r="U4" s="122" t="s">
        <v>601</v>
      </c>
      <c r="V4" s="123" t="s">
        <v>602</v>
      </c>
      <c r="W4" s="120" t="s">
        <v>599</v>
      </c>
      <c r="X4" s="121" t="s">
        <v>600</v>
      </c>
      <c r="Y4" s="122" t="s">
        <v>601</v>
      </c>
      <c r="Z4" s="123" t="s">
        <v>602</v>
      </c>
      <c r="AA4" s="120" t="s">
        <v>599</v>
      </c>
      <c r="AB4" s="121" t="s">
        <v>600</v>
      </c>
      <c r="AC4" s="122" t="s">
        <v>601</v>
      </c>
      <c r="AD4" s="123" t="s">
        <v>602</v>
      </c>
      <c r="AE4" s="120" t="s">
        <v>599</v>
      </c>
      <c r="AF4" s="121" t="s">
        <v>600</v>
      </c>
      <c r="AG4" s="122" t="s">
        <v>601</v>
      </c>
      <c r="AH4" s="123" t="s">
        <v>602</v>
      </c>
    </row>
    <row r="5" ht="36" customHeight="1" spans="1:34">
      <c r="A5" s="124">
        <v>1</v>
      </c>
      <c r="B5" s="125" t="s">
        <v>603</v>
      </c>
      <c r="C5" s="110" t="s">
        <v>500</v>
      </c>
      <c r="D5" s="110" t="s">
        <v>500</v>
      </c>
      <c r="E5" s="110" t="s">
        <v>500</v>
      </c>
      <c r="F5" s="110" t="s">
        <v>500</v>
      </c>
      <c r="G5" s="110" t="s">
        <v>500</v>
      </c>
      <c r="H5" s="110" t="s">
        <v>500</v>
      </c>
      <c r="I5" s="110" t="s">
        <v>500</v>
      </c>
      <c r="J5" s="110" t="s">
        <v>500</v>
      </c>
      <c r="K5" s="110" t="s">
        <v>500</v>
      </c>
      <c r="L5" s="110" t="s">
        <v>500</v>
      </c>
      <c r="M5" s="110" t="s">
        <v>500</v>
      </c>
      <c r="N5" s="110" t="s">
        <v>500</v>
      </c>
      <c r="O5" s="110" t="s">
        <v>500</v>
      </c>
      <c r="P5" s="110" t="s">
        <v>500</v>
      </c>
      <c r="Q5" s="110" t="s">
        <v>500</v>
      </c>
      <c r="R5" s="110" t="s">
        <v>500</v>
      </c>
      <c r="S5" s="110" t="s">
        <v>500</v>
      </c>
      <c r="T5" s="110" t="s">
        <v>500</v>
      </c>
      <c r="U5" s="110" t="s">
        <v>500</v>
      </c>
      <c r="V5" s="110" t="s">
        <v>500</v>
      </c>
      <c r="W5" s="110" t="s">
        <v>500</v>
      </c>
      <c r="X5" s="110" t="s">
        <v>500</v>
      </c>
      <c r="Y5" s="110" t="s">
        <v>500</v>
      </c>
      <c r="Z5" s="110" t="s">
        <v>500</v>
      </c>
      <c r="AA5" s="110" t="s">
        <v>500</v>
      </c>
      <c r="AB5" s="110" t="s">
        <v>500</v>
      </c>
      <c r="AC5" s="110" t="s">
        <v>500</v>
      </c>
      <c r="AD5" s="110" t="s">
        <v>500</v>
      </c>
      <c r="AE5" s="110" t="s">
        <v>500</v>
      </c>
      <c r="AF5" s="110" t="s">
        <v>500</v>
      </c>
      <c r="AG5" s="110" t="s">
        <v>500</v>
      </c>
      <c r="AH5" s="110" t="s">
        <v>500</v>
      </c>
    </row>
    <row r="6" ht="36" customHeight="1" spans="1:34">
      <c r="A6" s="126">
        <v>2</v>
      </c>
      <c r="B6" s="127" t="s">
        <v>470</v>
      </c>
      <c r="C6" s="109" t="s">
        <v>500</v>
      </c>
      <c r="D6" s="109" t="s">
        <v>500</v>
      </c>
      <c r="E6" s="109" t="s">
        <v>500</v>
      </c>
      <c r="F6" s="109" t="s">
        <v>500</v>
      </c>
      <c r="G6" s="109" t="s">
        <v>500</v>
      </c>
      <c r="H6" s="109" t="s">
        <v>500</v>
      </c>
      <c r="I6" s="109" t="s">
        <v>500</v>
      </c>
      <c r="J6" s="109" t="s">
        <v>500</v>
      </c>
      <c r="K6" s="109" t="s">
        <v>500</v>
      </c>
      <c r="L6" s="109" t="s">
        <v>500</v>
      </c>
      <c r="M6" s="109" t="s">
        <v>500</v>
      </c>
      <c r="N6" s="109" t="s">
        <v>500</v>
      </c>
      <c r="O6" s="109" t="s">
        <v>604</v>
      </c>
      <c r="P6" s="109">
        <v>38260</v>
      </c>
      <c r="Q6" s="109">
        <v>1530</v>
      </c>
      <c r="R6" s="109" t="s">
        <v>605</v>
      </c>
      <c r="S6" s="109" t="s">
        <v>606</v>
      </c>
      <c r="T6" s="109">
        <v>15380</v>
      </c>
      <c r="U6" s="109">
        <v>1530</v>
      </c>
      <c r="V6" s="109" t="s">
        <v>607</v>
      </c>
      <c r="W6" s="109" t="s">
        <v>608</v>
      </c>
      <c r="X6" s="109">
        <v>38260</v>
      </c>
      <c r="Y6" s="109">
        <v>1530</v>
      </c>
      <c r="Z6" s="109" t="s">
        <v>609</v>
      </c>
      <c r="AA6" s="109" t="s">
        <v>608</v>
      </c>
      <c r="AB6" s="109">
        <v>38260</v>
      </c>
      <c r="AC6" s="109">
        <v>1530</v>
      </c>
      <c r="AD6" s="109" t="s">
        <v>609</v>
      </c>
      <c r="AE6" s="109" t="s">
        <v>610</v>
      </c>
      <c r="AF6" s="109">
        <v>150</v>
      </c>
      <c r="AG6" s="109">
        <v>18</v>
      </c>
      <c r="AH6" s="109" t="s">
        <v>611</v>
      </c>
    </row>
    <row r="7" ht="36" customHeight="1" spans="1:34">
      <c r="A7" s="124">
        <v>3</v>
      </c>
      <c r="B7" s="125" t="s">
        <v>612</v>
      </c>
      <c r="C7" s="110" t="s">
        <v>500</v>
      </c>
      <c r="D7" s="110" t="s">
        <v>500</v>
      </c>
      <c r="E7" s="110" t="s">
        <v>500</v>
      </c>
      <c r="F7" s="110" t="s">
        <v>500</v>
      </c>
      <c r="G7" s="110" t="s">
        <v>500</v>
      </c>
      <c r="H7" s="110" t="s">
        <v>500</v>
      </c>
      <c r="I7" s="110" t="s">
        <v>500</v>
      </c>
      <c r="J7" s="110" t="s">
        <v>500</v>
      </c>
      <c r="K7" s="110" t="s">
        <v>500</v>
      </c>
      <c r="L7" s="110" t="s">
        <v>500</v>
      </c>
      <c r="M7" s="110" t="s">
        <v>500</v>
      </c>
      <c r="N7" s="110" t="s">
        <v>500</v>
      </c>
      <c r="O7" s="110" t="s">
        <v>613</v>
      </c>
      <c r="P7" s="110">
        <v>15000</v>
      </c>
      <c r="Q7" s="110">
        <v>2835</v>
      </c>
      <c r="R7" s="110" t="s">
        <v>614</v>
      </c>
      <c r="S7" s="128" t="s">
        <v>500</v>
      </c>
      <c r="T7" s="128" t="s">
        <v>500</v>
      </c>
      <c r="U7" s="128" t="s">
        <v>500</v>
      </c>
      <c r="V7" s="128" t="s">
        <v>500</v>
      </c>
      <c r="W7" s="128" t="s">
        <v>500</v>
      </c>
      <c r="X7" s="128" t="s">
        <v>500</v>
      </c>
      <c r="Y7" s="128" t="s">
        <v>500</v>
      </c>
      <c r="Z7" s="128" t="s">
        <v>500</v>
      </c>
      <c r="AA7" s="110" t="s">
        <v>500</v>
      </c>
      <c r="AB7" s="110" t="s">
        <v>500</v>
      </c>
      <c r="AC7" s="110" t="s">
        <v>500</v>
      </c>
      <c r="AD7" s="110" t="s">
        <v>615</v>
      </c>
      <c r="AE7" s="110" t="s">
        <v>616</v>
      </c>
      <c r="AF7" s="110">
        <v>172</v>
      </c>
      <c r="AG7" s="110">
        <v>29</v>
      </c>
      <c r="AH7" s="110" t="s">
        <v>617</v>
      </c>
    </row>
    <row r="8" ht="72.5" spans="1:34">
      <c r="A8" s="126">
        <v>4</v>
      </c>
      <c r="B8" s="127" t="s">
        <v>618</v>
      </c>
      <c r="C8" s="109" t="s">
        <v>619</v>
      </c>
      <c r="D8" s="109" t="s">
        <v>620</v>
      </c>
      <c r="E8" s="109" t="s">
        <v>621</v>
      </c>
      <c r="F8" s="109" t="s">
        <v>622</v>
      </c>
      <c r="G8" s="109" t="s">
        <v>623</v>
      </c>
      <c r="H8" s="109" t="s">
        <v>624</v>
      </c>
      <c r="I8" s="109" t="s">
        <v>625</v>
      </c>
      <c r="J8" s="109" t="s">
        <v>626</v>
      </c>
      <c r="K8" s="109" t="s">
        <v>627</v>
      </c>
      <c r="L8" s="109" t="s">
        <v>628</v>
      </c>
      <c r="M8" s="109" t="s">
        <v>629</v>
      </c>
      <c r="N8" s="109" t="s">
        <v>630</v>
      </c>
      <c r="O8" s="109" t="s">
        <v>631</v>
      </c>
      <c r="P8" s="109" t="s">
        <v>632</v>
      </c>
      <c r="Q8" s="109" t="s">
        <v>625</v>
      </c>
      <c r="R8" s="109" t="s">
        <v>633</v>
      </c>
      <c r="S8" s="109" t="s">
        <v>634</v>
      </c>
      <c r="T8" s="109" t="s">
        <v>635</v>
      </c>
      <c r="U8" s="109" t="s">
        <v>636</v>
      </c>
      <c r="V8" s="109" t="s">
        <v>637</v>
      </c>
      <c r="W8" s="109" t="s">
        <v>638</v>
      </c>
      <c r="X8" s="109" t="s">
        <v>639</v>
      </c>
      <c r="Y8" s="109" t="s">
        <v>640</v>
      </c>
      <c r="Z8" s="109" t="s">
        <v>641</v>
      </c>
      <c r="AA8" s="109" t="s">
        <v>642</v>
      </c>
      <c r="AB8" s="109" t="s">
        <v>639</v>
      </c>
      <c r="AC8" s="109" t="s">
        <v>643</v>
      </c>
      <c r="AD8" s="109" t="s">
        <v>644</v>
      </c>
      <c r="AE8" s="109" t="s">
        <v>645</v>
      </c>
      <c r="AF8" s="109" t="s">
        <v>646</v>
      </c>
      <c r="AG8" s="109" t="s">
        <v>636</v>
      </c>
      <c r="AH8" s="109" t="s">
        <v>647</v>
      </c>
    </row>
    <row r="9" ht="36" customHeight="1" spans="1:34">
      <c r="A9" s="124">
        <v>5</v>
      </c>
      <c r="B9" s="125" t="s">
        <v>475</v>
      </c>
      <c r="C9" s="128" t="s">
        <v>500</v>
      </c>
      <c r="D9" s="128" t="s">
        <v>500</v>
      </c>
      <c r="E9" s="128" t="s">
        <v>500</v>
      </c>
      <c r="F9" s="128" t="s">
        <v>500</v>
      </c>
      <c r="G9" s="128" t="s">
        <v>500</v>
      </c>
      <c r="H9" s="128" t="s">
        <v>500</v>
      </c>
      <c r="I9" s="128" t="s">
        <v>500</v>
      </c>
      <c r="J9" s="128" t="s">
        <v>500</v>
      </c>
      <c r="K9" s="128" t="s">
        <v>500</v>
      </c>
      <c r="L9" s="128" t="s">
        <v>500</v>
      </c>
      <c r="M9" s="128" t="s">
        <v>500</v>
      </c>
      <c r="N9" s="128" t="s">
        <v>500</v>
      </c>
      <c r="O9" s="128" t="s">
        <v>500</v>
      </c>
      <c r="P9" s="128" t="s">
        <v>500</v>
      </c>
      <c r="Q9" s="128" t="s">
        <v>500</v>
      </c>
      <c r="R9" s="128" t="s">
        <v>500</v>
      </c>
      <c r="S9" s="128" t="s">
        <v>500</v>
      </c>
      <c r="T9" s="128" t="s">
        <v>500</v>
      </c>
      <c r="U9" s="128" t="s">
        <v>500</v>
      </c>
      <c r="V9" s="128" t="s">
        <v>500</v>
      </c>
      <c r="W9" s="128" t="s">
        <v>500</v>
      </c>
      <c r="X9" s="128" t="s">
        <v>500</v>
      </c>
      <c r="Y9" s="128" t="s">
        <v>500</v>
      </c>
      <c r="Z9" s="128" t="s">
        <v>500</v>
      </c>
      <c r="AA9" s="128" t="s">
        <v>500</v>
      </c>
      <c r="AB9" s="128" t="s">
        <v>500</v>
      </c>
      <c r="AC9" s="128" t="s">
        <v>500</v>
      </c>
      <c r="AD9" s="128" t="s">
        <v>500</v>
      </c>
      <c r="AE9" s="128" t="s">
        <v>500</v>
      </c>
      <c r="AF9" s="128" t="s">
        <v>500</v>
      </c>
      <c r="AG9" s="128" t="s">
        <v>500</v>
      </c>
      <c r="AH9" s="128" t="s">
        <v>500</v>
      </c>
    </row>
    <row r="10" ht="36" customHeight="1" spans="1:34">
      <c r="A10" s="126">
        <v>6</v>
      </c>
      <c r="B10" s="127" t="s">
        <v>476</v>
      </c>
      <c r="C10" s="129" t="s">
        <v>500</v>
      </c>
      <c r="D10" s="129" t="s">
        <v>500</v>
      </c>
      <c r="E10" s="129" t="s">
        <v>500</v>
      </c>
      <c r="F10" s="129" t="s">
        <v>500</v>
      </c>
      <c r="G10" s="129" t="s">
        <v>500</v>
      </c>
      <c r="H10" s="129" t="s">
        <v>500</v>
      </c>
      <c r="I10" s="129" t="s">
        <v>500</v>
      </c>
      <c r="J10" s="129" t="s">
        <v>500</v>
      </c>
      <c r="K10" s="129" t="s">
        <v>500</v>
      </c>
      <c r="L10" s="129" t="s">
        <v>500</v>
      </c>
      <c r="M10" s="129" t="s">
        <v>500</v>
      </c>
      <c r="N10" s="129" t="s">
        <v>500</v>
      </c>
      <c r="O10" s="129" t="s">
        <v>500</v>
      </c>
      <c r="P10" s="129" t="s">
        <v>500</v>
      </c>
      <c r="Q10" s="129" t="s">
        <v>500</v>
      </c>
      <c r="R10" s="129" t="s">
        <v>500</v>
      </c>
      <c r="S10" s="129" t="s">
        <v>500</v>
      </c>
      <c r="T10" s="129" t="s">
        <v>500</v>
      </c>
      <c r="U10" s="129" t="s">
        <v>500</v>
      </c>
      <c r="V10" s="129" t="s">
        <v>500</v>
      </c>
      <c r="W10" s="129" t="s">
        <v>500</v>
      </c>
      <c r="X10" s="129" t="s">
        <v>500</v>
      </c>
      <c r="Y10" s="129" t="s">
        <v>500</v>
      </c>
      <c r="Z10" s="129" t="s">
        <v>500</v>
      </c>
      <c r="AA10" s="129" t="s">
        <v>500</v>
      </c>
      <c r="AB10" s="129" t="s">
        <v>500</v>
      </c>
      <c r="AC10" s="129" t="s">
        <v>500</v>
      </c>
      <c r="AD10" s="129" t="s">
        <v>500</v>
      </c>
      <c r="AE10" s="129" t="s">
        <v>500</v>
      </c>
      <c r="AF10" s="129" t="s">
        <v>500</v>
      </c>
      <c r="AG10" s="129" t="s">
        <v>500</v>
      </c>
      <c r="AH10" s="129" t="s">
        <v>500</v>
      </c>
    </row>
    <row r="11" ht="36" customHeight="1" spans="1:34">
      <c r="A11" s="124">
        <v>7</v>
      </c>
      <c r="B11" s="125" t="s">
        <v>648</v>
      </c>
      <c r="C11" s="128"/>
      <c r="D11" s="128"/>
      <c r="E11" s="128"/>
      <c r="F11" s="128"/>
      <c r="G11" s="128"/>
      <c r="H11" s="128"/>
      <c r="I11" s="128"/>
      <c r="J11" s="128"/>
      <c r="K11" s="128"/>
      <c r="L11" s="128"/>
      <c r="M11" s="128"/>
      <c r="N11" s="128"/>
      <c r="O11" s="110" t="s">
        <v>649</v>
      </c>
      <c r="P11" s="110" t="s">
        <v>650</v>
      </c>
      <c r="Q11" s="110">
        <v>264</v>
      </c>
      <c r="R11" s="110" t="s">
        <v>651</v>
      </c>
      <c r="S11" s="128" t="s">
        <v>500</v>
      </c>
      <c r="T11" s="128" t="s">
        <v>500</v>
      </c>
      <c r="U11" s="128" t="s">
        <v>500</v>
      </c>
      <c r="V11" s="128" t="s">
        <v>500</v>
      </c>
      <c r="W11" s="128" t="s">
        <v>500</v>
      </c>
      <c r="X11" s="128" t="s">
        <v>500</v>
      </c>
      <c r="Y11" s="128" t="s">
        <v>500</v>
      </c>
      <c r="Z11" s="128" t="s">
        <v>500</v>
      </c>
      <c r="AA11" s="128" t="s">
        <v>500</v>
      </c>
      <c r="AB11" s="128" t="s">
        <v>500</v>
      </c>
      <c r="AC11" s="128" t="s">
        <v>500</v>
      </c>
      <c r="AD11" s="128" t="s">
        <v>500</v>
      </c>
      <c r="AE11" s="128" t="s">
        <v>500</v>
      </c>
      <c r="AF11" s="128" t="s">
        <v>500</v>
      </c>
      <c r="AG11" s="128" t="s">
        <v>500</v>
      </c>
      <c r="AH11" s="128" t="s">
        <v>500</v>
      </c>
    </row>
    <row r="12" ht="36" customHeight="1" spans="1:34">
      <c r="A12" s="126">
        <v>8</v>
      </c>
      <c r="B12" s="127" t="s">
        <v>652</v>
      </c>
      <c r="C12" s="109" t="s">
        <v>500</v>
      </c>
      <c r="D12" s="109" t="s">
        <v>500</v>
      </c>
      <c r="E12" s="109" t="s">
        <v>500</v>
      </c>
      <c r="F12" s="109" t="s">
        <v>500</v>
      </c>
      <c r="G12" s="109" t="s">
        <v>500</v>
      </c>
      <c r="H12" s="109" t="s">
        <v>500</v>
      </c>
      <c r="I12" s="109" t="s">
        <v>500</v>
      </c>
      <c r="J12" s="109" t="s">
        <v>500</v>
      </c>
      <c r="K12" s="109" t="s">
        <v>500</v>
      </c>
      <c r="L12" s="109" t="s">
        <v>500</v>
      </c>
      <c r="M12" s="109" t="s">
        <v>500</v>
      </c>
      <c r="N12" s="109" t="s">
        <v>500</v>
      </c>
      <c r="O12" s="109" t="s">
        <v>653</v>
      </c>
      <c r="P12" s="109" t="s">
        <v>654</v>
      </c>
      <c r="Q12" s="109">
        <v>590</v>
      </c>
      <c r="R12" s="109" t="s">
        <v>655</v>
      </c>
      <c r="S12" s="109" t="s">
        <v>500</v>
      </c>
      <c r="T12" s="109" t="s">
        <v>500</v>
      </c>
      <c r="U12" s="109" t="s">
        <v>500</v>
      </c>
      <c r="V12" s="109" t="s">
        <v>500</v>
      </c>
      <c r="W12" s="109" t="s">
        <v>653</v>
      </c>
      <c r="X12" s="109" t="s">
        <v>654</v>
      </c>
      <c r="Y12" s="109">
        <v>590</v>
      </c>
      <c r="Z12" s="109" t="s">
        <v>655</v>
      </c>
      <c r="AA12" s="109" t="s">
        <v>653</v>
      </c>
      <c r="AB12" s="109" t="s">
        <v>654</v>
      </c>
      <c r="AC12" s="109">
        <v>590</v>
      </c>
      <c r="AD12" s="109" t="s">
        <v>655</v>
      </c>
      <c r="AE12" s="109" t="s">
        <v>653</v>
      </c>
      <c r="AF12" s="109" t="s">
        <v>656</v>
      </c>
      <c r="AG12" s="109">
        <v>590</v>
      </c>
      <c r="AH12" s="109" t="s">
        <v>655</v>
      </c>
    </row>
    <row r="13" ht="36" customHeight="1" spans="1:34">
      <c r="A13" s="124">
        <v>9</v>
      </c>
      <c r="B13" s="125" t="s">
        <v>465</v>
      </c>
      <c r="C13" s="128" t="s">
        <v>500</v>
      </c>
      <c r="D13" s="128" t="s">
        <v>500</v>
      </c>
      <c r="E13" s="128" t="s">
        <v>500</v>
      </c>
      <c r="F13" s="128" t="s">
        <v>500</v>
      </c>
      <c r="G13" s="128" t="s">
        <v>500</v>
      </c>
      <c r="H13" s="128" t="s">
        <v>500</v>
      </c>
      <c r="I13" s="128" t="s">
        <v>500</v>
      </c>
      <c r="J13" s="128" t="s">
        <v>500</v>
      </c>
      <c r="K13" s="128" t="s">
        <v>500</v>
      </c>
      <c r="L13" s="128" t="s">
        <v>500</v>
      </c>
      <c r="M13" s="128" t="s">
        <v>500</v>
      </c>
      <c r="N13" s="128" t="s">
        <v>500</v>
      </c>
      <c r="O13" s="128" t="s">
        <v>500</v>
      </c>
      <c r="P13" s="128" t="s">
        <v>500</v>
      </c>
      <c r="Q13" s="128" t="s">
        <v>500</v>
      </c>
      <c r="R13" s="128" t="s">
        <v>500</v>
      </c>
      <c r="S13" s="128" t="s">
        <v>500</v>
      </c>
      <c r="T13" s="128" t="s">
        <v>500</v>
      </c>
      <c r="U13" s="128" t="s">
        <v>500</v>
      </c>
      <c r="V13" s="128" t="s">
        <v>500</v>
      </c>
      <c r="W13" s="128" t="s">
        <v>500</v>
      </c>
      <c r="X13" s="128" t="s">
        <v>500</v>
      </c>
      <c r="Y13" s="128" t="s">
        <v>500</v>
      </c>
      <c r="Z13" s="128" t="s">
        <v>500</v>
      </c>
      <c r="AA13" s="128" t="s">
        <v>500</v>
      </c>
      <c r="AB13" s="128" t="s">
        <v>500</v>
      </c>
      <c r="AC13" s="128" t="s">
        <v>500</v>
      </c>
      <c r="AD13" s="128" t="s">
        <v>500</v>
      </c>
      <c r="AE13" s="110" t="s">
        <v>657</v>
      </c>
      <c r="AF13" s="110">
        <v>283</v>
      </c>
      <c r="AG13" s="110">
        <v>91</v>
      </c>
      <c r="AH13" s="128"/>
    </row>
    <row r="14" ht="47" customHeight="1" spans="1:34">
      <c r="A14" s="126">
        <v>10</v>
      </c>
      <c r="B14" s="127" t="s">
        <v>658</v>
      </c>
      <c r="C14" s="129" t="s">
        <v>500</v>
      </c>
      <c r="D14" s="129" t="s">
        <v>500</v>
      </c>
      <c r="E14" s="129" t="s">
        <v>500</v>
      </c>
      <c r="F14" s="129" t="s">
        <v>500</v>
      </c>
      <c r="G14" s="129" t="s">
        <v>500</v>
      </c>
      <c r="H14" s="129" t="s">
        <v>500</v>
      </c>
      <c r="I14" s="129" t="s">
        <v>500</v>
      </c>
      <c r="J14" s="129" t="s">
        <v>500</v>
      </c>
      <c r="K14" s="129" t="s">
        <v>500</v>
      </c>
      <c r="L14" s="129" t="s">
        <v>500</v>
      </c>
      <c r="M14" s="129" t="s">
        <v>500</v>
      </c>
      <c r="N14" s="129" t="s">
        <v>500</v>
      </c>
      <c r="O14" s="109" t="s">
        <v>659</v>
      </c>
      <c r="P14" s="129" t="s">
        <v>500</v>
      </c>
      <c r="Q14" s="129" t="s">
        <v>500</v>
      </c>
      <c r="R14" s="109" t="s">
        <v>660</v>
      </c>
      <c r="S14" s="129" t="s">
        <v>500</v>
      </c>
      <c r="T14" s="129" t="s">
        <v>500</v>
      </c>
      <c r="U14" s="129" t="s">
        <v>500</v>
      </c>
      <c r="V14" s="129" t="s">
        <v>500</v>
      </c>
      <c r="W14" s="109" t="s">
        <v>659</v>
      </c>
      <c r="X14" s="109">
        <v>0</v>
      </c>
      <c r="Y14" s="109">
        <v>0</v>
      </c>
      <c r="Z14" s="109" t="s">
        <v>660</v>
      </c>
      <c r="AA14" s="109" t="s">
        <v>659</v>
      </c>
      <c r="AB14" s="129" t="s">
        <v>500</v>
      </c>
      <c r="AC14" s="129" t="s">
        <v>500</v>
      </c>
      <c r="AD14" s="109" t="s">
        <v>660</v>
      </c>
      <c r="AE14" s="129" t="s">
        <v>500</v>
      </c>
      <c r="AF14" s="129" t="s">
        <v>500</v>
      </c>
      <c r="AG14" s="129" t="s">
        <v>500</v>
      </c>
      <c r="AH14" s="129" t="s">
        <v>500</v>
      </c>
    </row>
    <row r="15" ht="47" customHeight="1" spans="1:34">
      <c r="A15" s="124">
        <v>11</v>
      </c>
      <c r="B15" s="125" t="s">
        <v>467</v>
      </c>
      <c r="C15" s="128" t="s">
        <v>500</v>
      </c>
      <c r="D15" s="128" t="s">
        <v>500</v>
      </c>
      <c r="E15" s="128" t="s">
        <v>500</v>
      </c>
      <c r="F15" s="128" t="s">
        <v>500</v>
      </c>
      <c r="G15" s="128" t="s">
        <v>500</v>
      </c>
      <c r="H15" s="128" t="s">
        <v>500</v>
      </c>
      <c r="I15" s="128" t="s">
        <v>500</v>
      </c>
      <c r="J15" s="128" t="s">
        <v>500</v>
      </c>
      <c r="K15" s="128" t="s">
        <v>500</v>
      </c>
      <c r="L15" s="128" t="s">
        <v>500</v>
      </c>
      <c r="M15" s="128" t="s">
        <v>500</v>
      </c>
      <c r="N15" s="128" t="s">
        <v>500</v>
      </c>
      <c r="O15" s="110" t="s">
        <v>661</v>
      </c>
      <c r="P15" s="130" t="s">
        <v>662</v>
      </c>
      <c r="Q15" s="130">
        <v>383</v>
      </c>
      <c r="R15" s="130" t="s">
        <v>663</v>
      </c>
      <c r="S15" s="128" t="s">
        <v>500</v>
      </c>
      <c r="T15" s="128" t="s">
        <v>500</v>
      </c>
      <c r="U15" s="128" t="s">
        <v>500</v>
      </c>
      <c r="V15" s="128" t="s">
        <v>500</v>
      </c>
      <c r="W15" s="110" t="s">
        <v>664</v>
      </c>
      <c r="X15" s="110">
        <v>3275</v>
      </c>
      <c r="Y15" s="110">
        <v>601</v>
      </c>
      <c r="Z15" s="110" t="s">
        <v>665</v>
      </c>
      <c r="AA15" s="110" t="s">
        <v>666</v>
      </c>
      <c r="AB15" s="110">
        <v>1874</v>
      </c>
      <c r="AC15" s="110">
        <v>354</v>
      </c>
      <c r="AD15" s="110" t="s">
        <v>667</v>
      </c>
      <c r="AE15" s="128" t="s">
        <v>500</v>
      </c>
      <c r="AF15" s="128" t="s">
        <v>500</v>
      </c>
      <c r="AG15" s="128" t="s">
        <v>500</v>
      </c>
      <c r="AH15" s="128" t="s">
        <v>500</v>
      </c>
    </row>
    <row r="16" ht="47" customHeight="1" spans="1:34">
      <c r="A16" s="131">
        <v>12</v>
      </c>
      <c r="B16" s="132" t="s">
        <v>468</v>
      </c>
      <c r="C16" s="133" t="s">
        <v>500</v>
      </c>
      <c r="D16" s="133" t="s">
        <v>500</v>
      </c>
      <c r="E16" s="133" t="s">
        <v>500</v>
      </c>
      <c r="F16" s="133" t="s">
        <v>500</v>
      </c>
      <c r="G16" s="133" t="s">
        <v>500</v>
      </c>
      <c r="H16" s="133" t="s">
        <v>500</v>
      </c>
      <c r="I16" s="133" t="s">
        <v>500</v>
      </c>
      <c r="J16" s="133" t="s">
        <v>500</v>
      </c>
      <c r="K16" s="133" t="s">
        <v>500</v>
      </c>
      <c r="L16" s="133" t="s">
        <v>500</v>
      </c>
      <c r="M16" s="133" t="s">
        <v>500</v>
      </c>
      <c r="N16" s="133" t="s">
        <v>500</v>
      </c>
      <c r="O16" s="134" t="s">
        <v>668</v>
      </c>
      <c r="P16" s="135" t="s">
        <v>669</v>
      </c>
      <c r="Q16" s="135">
        <v>8280</v>
      </c>
      <c r="R16" s="135" t="s">
        <v>670</v>
      </c>
      <c r="S16" s="133" t="s">
        <v>500</v>
      </c>
      <c r="T16" s="133" t="s">
        <v>500</v>
      </c>
      <c r="U16" s="133" t="s">
        <v>500</v>
      </c>
      <c r="V16" s="133" t="s">
        <v>500</v>
      </c>
      <c r="W16" s="134" t="s">
        <v>671</v>
      </c>
      <c r="X16" s="134" t="s">
        <v>672</v>
      </c>
      <c r="Y16" s="134">
        <v>8280</v>
      </c>
      <c r="Z16" s="134" t="s">
        <v>665</v>
      </c>
      <c r="AA16" s="134" t="s">
        <v>673</v>
      </c>
      <c r="AB16" s="134" t="s">
        <v>672</v>
      </c>
      <c r="AC16" s="134">
        <v>8280</v>
      </c>
      <c r="AD16" s="134" t="s">
        <v>665</v>
      </c>
      <c r="AE16" s="133" t="s">
        <v>500</v>
      </c>
      <c r="AF16" s="133" t="s">
        <v>500</v>
      </c>
      <c r="AG16" s="133" t="s">
        <v>500</v>
      </c>
      <c r="AH16" s="133" t="s">
        <v>500</v>
      </c>
    </row>
    <row r="17" spans="1:34">
      <c r="A17" s="136"/>
      <c r="B17" s="136"/>
      <c r="C17" s="137"/>
      <c r="D17" s="137"/>
      <c r="E17" s="137"/>
      <c r="F17" s="137"/>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row>
  </sheetData>
  <mergeCells count="10">
    <mergeCell ref="C3:F3"/>
    <mergeCell ref="G3:J3"/>
    <mergeCell ref="K3:N3"/>
    <mergeCell ref="O3:R3"/>
    <mergeCell ref="S3:V3"/>
    <mergeCell ref="W3:Z3"/>
    <mergeCell ref="AA3:AD3"/>
    <mergeCell ref="AE3:AH3"/>
    <mergeCell ref="A3:A4"/>
    <mergeCell ref="B3:B4"/>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D292"/>
  <sheetViews>
    <sheetView workbookViewId="0">
      <selection activeCell="W270" sqref="W270:AD277"/>
    </sheetView>
  </sheetViews>
  <sheetFormatPr defaultColWidth="8.90909090909091" defaultRowHeight="14.5"/>
  <cols>
    <col min="1" max="1" width="6.18181818181818" customWidth="1"/>
    <col min="2" max="4" width="20.6363636363636" customWidth="1"/>
    <col min="8" max="10" width="12.9090909090909"/>
    <col min="11" max="14" width="12.5454545454545" customWidth="1"/>
  </cols>
  <sheetData>
    <row r="2" ht="58.75" spans="1:15">
      <c r="A2" s="81" t="s">
        <v>0</v>
      </c>
      <c r="B2" s="81" t="s">
        <v>1</v>
      </c>
      <c r="C2" s="81" t="s">
        <v>2</v>
      </c>
      <c r="D2" s="81" t="s">
        <v>3</v>
      </c>
      <c r="E2" s="82" t="s">
        <v>674</v>
      </c>
      <c r="F2" s="82" t="s">
        <v>675</v>
      </c>
      <c r="G2" s="82" t="s">
        <v>676</v>
      </c>
      <c r="H2" s="83" t="s">
        <v>677</v>
      </c>
      <c r="I2" s="83" t="s">
        <v>678</v>
      </c>
      <c r="J2" s="83" t="s">
        <v>679</v>
      </c>
      <c r="K2" s="84" t="s">
        <v>680</v>
      </c>
      <c r="L2" s="84" t="s">
        <v>681</v>
      </c>
      <c r="M2" s="84" t="s">
        <v>682</v>
      </c>
      <c r="N2" s="84" t="s">
        <v>683</v>
      </c>
    </row>
    <row r="3" spans="1:15">
      <c r="A3" s="229" t="s">
        <v>21</v>
      </c>
      <c r="B3" s="85" t="s">
        <v>22</v>
      </c>
      <c r="C3" s="86" t="s">
        <v>23</v>
      </c>
      <c r="D3" s="86" t="s">
        <v>24</v>
      </c>
      <c r="E3" s="87">
        <v>0.974025974025974</v>
      </c>
      <c r="F3" s="87">
        <v>1</v>
      </c>
      <c r="G3" s="87" t="e">
        <v>#DIV/0!</v>
      </c>
      <c r="H3" s="88">
        <v>6.41666666666667</v>
      </c>
      <c r="I3" s="88">
        <v>1.75</v>
      </c>
      <c r="J3" s="88">
        <v>0</v>
      </c>
      <c r="K3" s="89">
        <v>6</v>
      </c>
      <c r="L3" s="20">
        <v>2</v>
      </c>
      <c r="M3" s="89">
        <v>0</v>
      </c>
      <c r="N3" s="85"/>
      <c r="O3">
        <f>L3*10</f>
        <v>20</v>
      </c>
    </row>
    <row r="4" spans="1:15">
      <c r="A4" s="230" t="s">
        <v>27</v>
      </c>
      <c r="B4" s="90" t="s">
        <v>22</v>
      </c>
      <c r="C4" s="91" t="s">
        <v>23</v>
      </c>
      <c r="D4" s="91" t="s">
        <v>28</v>
      </c>
      <c r="E4" s="92">
        <v>1</v>
      </c>
      <c r="F4" s="92">
        <v>1</v>
      </c>
      <c r="G4" s="92" t="e">
        <v>#DIV/0!</v>
      </c>
      <c r="H4" s="93">
        <v>4.5</v>
      </c>
      <c r="I4" s="93">
        <v>1.33333333333333</v>
      </c>
      <c r="J4" s="93">
        <v>0</v>
      </c>
      <c r="K4" s="94">
        <v>6</v>
      </c>
      <c r="L4" s="94">
        <v>2</v>
      </c>
      <c r="M4" s="94">
        <v>0</v>
      </c>
      <c r="N4" s="90"/>
      <c r="O4">
        <f t="shared" ref="O4:O67" si="0">L4*10</f>
        <v>20</v>
      </c>
    </row>
    <row r="5" spans="1:15">
      <c r="A5" s="231" t="s">
        <v>30</v>
      </c>
      <c r="B5" s="95" t="s">
        <v>22</v>
      </c>
      <c r="C5" s="96" t="s">
        <v>23</v>
      </c>
      <c r="D5" s="96" t="s">
        <v>31</v>
      </c>
      <c r="E5" s="97">
        <v>1</v>
      </c>
      <c r="F5" s="97">
        <v>1</v>
      </c>
      <c r="G5" s="97" t="e">
        <v>#DIV/0!</v>
      </c>
      <c r="H5" s="98">
        <v>6.41666666666667</v>
      </c>
      <c r="I5" s="98">
        <v>1.58333333333333</v>
      </c>
      <c r="J5" s="98">
        <v>0</v>
      </c>
      <c r="K5" s="99">
        <v>6</v>
      </c>
      <c r="L5" s="25">
        <v>2</v>
      </c>
      <c r="M5" s="99">
        <v>0</v>
      </c>
      <c r="N5" s="95"/>
      <c r="O5">
        <f t="shared" si="0"/>
        <v>20</v>
      </c>
    </row>
    <row r="6" spans="1:15">
      <c r="A6" s="230" t="s">
        <v>32</v>
      </c>
      <c r="B6" s="90" t="s">
        <v>22</v>
      </c>
      <c r="C6" s="91" t="s">
        <v>23</v>
      </c>
      <c r="D6" s="91" t="s">
        <v>33</v>
      </c>
      <c r="E6" s="92">
        <v>1.18181818181818</v>
      </c>
      <c r="F6" s="92">
        <v>1.45454545454545</v>
      </c>
      <c r="G6" s="92" t="e">
        <v>#DIV/0!</v>
      </c>
      <c r="H6" s="93">
        <v>6.41666666666667</v>
      </c>
      <c r="I6" s="93">
        <v>0.916666666666667</v>
      </c>
      <c r="J6" s="93">
        <v>0</v>
      </c>
      <c r="K6" s="94">
        <v>6</v>
      </c>
      <c r="L6" s="23">
        <v>2</v>
      </c>
      <c r="M6" s="94">
        <v>0</v>
      </c>
      <c r="N6" s="90"/>
      <c r="O6">
        <f t="shared" si="0"/>
        <v>20</v>
      </c>
    </row>
    <row r="7" spans="1:15">
      <c r="A7" s="231" t="s">
        <v>34</v>
      </c>
      <c r="B7" s="95" t="s">
        <v>22</v>
      </c>
      <c r="C7" s="96" t="s">
        <v>23</v>
      </c>
      <c r="D7" s="96" t="s">
        <v>35</v>
      </c>
      <c r="E7" s="97">
        <v>1.09090909090909</v>
      </c>
      <c r="F7" s="97">
        <v>1.09090909090909</v>
      </c>
      <c r="G7" s="97" t="e">
        <v>#DIV/0!</v>
      </c>
      <c r="H7" s="98">
        <v>6.41666666666667</v>
      </c>
      <c r="I7" s="98">
        <v>0.916666666666667</v>
      </c>
      <c r="J7" s="98">
        <v>0</v>
      </c>
      <c r="K7" s="99">
        <v>6</v>
      </c>
      <c r="L7" s="25">
        <v>2</v>
      </c>
      <c r="M7" s="99">
        <v>0</v>
      </c>
      <c r="N7" s="95"/>
      <c r="O7">
        <f t="shared" si="0"/>
        <v>20</v>
      </c>
    </row>
    <row r="8" spans="1:15">
      <c r="A8" s="230" t="s">
        <v>37</v>
      </c>
      <c r="B8" s="90" t="s">
        <v>22</v>
      </c>
      <c r="C8" s="91" t="s">
        <v>23</v>
      </c>
      <c r="D8" s="91" t="s">
        <v>38</v>
      </c>
      <c r="E8" s="92">
        <v>1</v>
      </c>
      <c r="F8" s="92">
        <v>1</v>
      </c>
      <c r="G8" s="92" t="e">
        <v>#DIV/0!</v>
      </c>
      <c r="H8" s="93">
        <v>2.83333333333333</v>
      </c>
      <c r="I8" s="93">
        <v>0.833333333333333</v>
      </c>
      <c r="J8" s="93">
        <v>0</v>
      </c>
      <c r="K8" s="94">
        <v>3</v>
      </c>
      <c r="L8" s="23">
        <v>1</v>
      </c>
      <c r="M8" s="94">
        <v>0</v>
      </c>
      <c r="N8" s="90"/>
      <c r="O8">
        <f t="shared" si="0"/>
        <v>10</v>
      </c>
    </row>
    <row r="9" spans="1:15">
      <c r="A9" s="231" t="s">
        <v>39</v>
      </c>
      <c r="B9" s="95" t="s">
        <v>22</v>
      </c>
      <c r="C9" s="96" t="s">
        <v>23</v>
      </c>
      <c r="D9" s="96" t="s">
        <v>40</v>
      </c>
      <c r="E9" s="97">
        <v>1.09333333333333</v>
      </c>
      <c r="F9" s="97">
        <v>1.0952380952381</v>
      </c>
      <c r="G9" s="97" t="e">
        <v>#DIV/0!</v>
      </c>
      <c r="H9" s="98">
        <v>6.25</v>
      </c>
      <c r="I9" s="98">
        <v>1.75</v>
      </c>
      <c r="J9" s="98">
        <v>0</v>
      </c>
      <c r="K9" s="99">
        <v>6</v>
      </c>
      <c r="L9" s="25">
        <v>2</v>
      </c>
      <c r="M9" s="99">
        <v>0</v>
      </c>
      <c r="N9" s="95"/>
      <c r="O9">
        <f t="shared" si="0"/>
        <v>20</v>
      </c>
    </row>
    <row r="10" spans="1:15">
      <c r="A10" s="230" t="s">
        <v>41</v>
      </c>
      <c r="B10" s="90" t="s">
        <v>22</v>
      </c>
      <c r="C10" s="91" t="s">
        <v>23</v>
      </c>
      <c r="D10" s="91" t="s">
        <v>42</v>
      </c>
      <c r="E10" s="92">
        <v>1</v>
      </c>
      <c r="F10" s="92">
        <v>1</v>
      </c>
      <c r="G10" s="92" t="e">
        <v>#DIV/0!</v>
      </c>
      <c r="H10" s="93">
        <v>7</v>
      </c>
      <c r="I10" s="93">
        <v>1</v>
      </c>
      <c r="J10" s="93">
        <v>0</v>
      </c>
      <c r="K10" s="94">
        <v>6</v>
      </c>
      <c r="L10" s="23">
        <v>2</v>
      </c>
      <c r="M10" s="94">
        <v>0</v>
      </c>
      <c r="N10" s="90"/>
      <c r="O10">
        <f t="shared" si="0"/>
        <v>20</v>
      </c>
    </row>
    <row r="11" spans="1:15">
      <c r="A11" s="231" t="s">
        <v>43</v>
      </c>
      <c r="B11" s="95" t="s">
        <v>22</v>
      </c>
      <c r="C11" s="96" t="s">
        <v>23</v>
      </c>
      <c r="D11" s="96" t="s">
        <v>44</v>
      </c>
      <c r="E11" s="97">
        <v>0.846153846153846</v>
      </c>
      <c r="F11" s="97">
        <v>0.846153846153846</v>
      </c>
      <c r="G11" s="97" t="e">
        <v>#DIV/0!</v>
      </c>
      <c r="H11" s="98">
        <v>3.25</v>
      </c>
      <c r="I11" s="98">
        <v>1.08333333333333</v>
      </c>
      <c r="J11" s="98">
        <v>0</v>
      </c>
      <c r="K11" s="99">
        <v>4</v>
      </c>
      <c r="L11" s="25">
        <v>1</v>
      </c>
      <c r="M11" s="99">
        <v>0</v>
      </c>
      <c r="N11" s="95"/>
      <c r="O11">
        <f t="shared" si="0"/>
        <v>10</v>
      </c>
    </row>
    <row r="12" spans="1:15">
      <c r="A12" s="230" t="s">
        <v>45</v>
      </c>
      <c r="B12" s="90" t="s">
        <v>22</v>
      </c>
      <c r="C12" s="91" t="s">
        <v>23</v>
      </c>
      <c r="D12" s="91" t="s">
        <v>46</v>
      </c>
      <c r="E12" s="92">
        <v>0.908333333333333</v>
      </c>
      <c r="F12" s="92">
        <v>0.875</v>
      </c>
      <c r="G12" s="92" t="e">
        <v>#DIV/0!</v>
      </c>
      <c r="H12" s="93">
        <v>10</v>
      </c>
      <c r="I12" s="93">
        <v>2</v>
      </c>
      <c r="J12" s="93">
        <v>0</v>
      </c>
      <c r="K12" s="94">
        <v>8</v>
      </c>
      <c r="L12" s="23">
        <v>4</v>
      </c>
      <c r="M12" s="94">
        <v>0</v>
      </c>
      <c r="N12" s="90"/>
      <c r="O12">
        <f t="shared" si="0"/>
        <v>40</v>
      </c>
    </row>
    <row r="13" spans="1:15">
      <c r="A13" s="231" t="s">
        <v>47</v>
      </c>
      <c r="B13" s="95" t="s">
        <v>22</v>
      </c>
      <c r="C13" s="96" t="s">
        <v>23</v>
      </c>
      <c r="D13" s="96" t="s">
        <v>48</v>
      </c>
      <c r="E13" s="97">
        <v>0.909090909090909</v>
      </c>
      <c r="F13" s="97">
        <v>0.857142857142857</v>
      </c>
      <c r="G13" s="97" t="e">
        <v>#DIV/0!</v>
      </c>
      <c r="H13" s="98">
        <v>6.41666666666667</v>
      </c>
      <c r="I13" s="98">
        <v>1.75</v>
      </c>
      <c r="J13" s="98">
        <v>0</v>
      </c>
      <c r="K13" s="99">
        <v>6</v>
      </c>
      <c r="L13" s="25">
        <v>2</v>
      </c>
      <c r="M13" s="99">
        <v>0</v>
      </c>
      <c r="N13" s="95"/>
      <c r="O13">
        <f t="shared" si="0"/>
        <v>20</v>
      </c>
    </row>
    <row r="14" spans="1:15">
      <c r="A14" s="230" t="s">
        <v>49</v>
      </c>
      <c r="B14" s="90" t="s">
        <v>22</v>
      </c>
      <c r="C14" s="91" t="s">
        <v>23</v>
      </c>
      <c r="D14" s="91" t="s">
        <v>50</v>
      </c>
      <c r="E14" s="92">
        <v>1</v>
      </c>
      <c r="F14" s="92">
        <v>1</v>
      </c>
      <c r="G14" s="92" t="e">
        <v>#DIV/0!</v>
      </c>
      <c r="H14" s="93">
        <v>6.91666666666667</v>
      </c>
      <c r="I14" s="93">
        <v>1.25</v>
      </c>
      <c r="J14" s="93">
        <v>0</v>
      </c>
      <c r="K14" s="94">
        <v>6</v>
      </c>
      <c r="L14" s="23">
        <v>2</v>
      </c>
      <c r="M14" s="94">
        <v>0</v>
      </c>
      <c r="N14" s="90"/>
      <c r="O14">
        <f t="shared" si="0"/>
        <v>20</v>
      </c>
    </row>
    <row r="15" spans="1:15">
      <c r="A15" s="231" t="s">
        <v>51</v>
      </c>
      <c r="B15" s="95" t="s">
        <v>22</v>
      </c>
      <c r="C15" s="96" t="s">
        <v>23</v>
      </c>
      <c r="D15" s="96" t="s">
        <v>52</v>
      </c>
      <c r="E15" s="97">
        <v>1</v>
      </c>
      <c r="F15" s="97">
        <v>0.916666666666667</v>
      </c>
      <c r="G15" s="97" t="e">
        <v>#DIV/0!</v>
      </c>
      <c r="H15" s="98">
        <v>3</v>
      </c>
      <c r="I15" s="98">
        <v>1</v>
      </c>
      <c r="J15" s="98">
        <v>0</v>
      </c>
      <c r="K15" s="99">
        <v>3</v>
      </c>
      <c r="L15" s="25">
        <v>1</v>
      </c>
      <c r="M15" s="99">
        <v>0</v>
      </c>
      <c r="N15" s="95"/>
      <c r="O15">
        <f t="shared" si="0"/>
        <v>10</v>
      </c>
    </row>
    <row r="16" spans="1:15">
      <c r="A16" s="230" t="s">
        <v>53</v>
      </c>
      <c r="B16" s="90" t="s">
        <v>22</v>
      </c>
      <c r="C16" s="91" t="s">
        <v>23</v>
      </c>
      <c r="D16" s="91" t="s">
        <v>54</v>
      </c>
      <c r="E16" s="92">
        <v>0.888888888888889</v>
      </c>
      <c r="F16" s="92">
        <v>0.857142857142857</v>
      </c>
      <c r="G16" s="92" t="e">
        <v>#DIV/0!</v>
      </c>
      <c r="H16" s="93">
        <v>6</v>
      </c>
      <c r="I16" s="93">
        <v>2.33333333333333</v>
      </c>
      <c r="J16" s="93">
        <v>0</v>
      </c>
      <c r="K16" s="94">
        <v>6</v>
      </c>
      <c r="L16" s="23">
        <v>2</v>
      </c>
      <c r="M16" s="94">
        <v>0</v>
      </c>
      <c r="N16" s="90"/>
      <c r="O16">
        <f t="shared" si="0"/>
        <v>20</v>
      </c>
    </row>
    <row r="17" spans="1:15">
      <c r="A17" s="231" t="s">
        <v>55</v>
      </c>
      <c r="B17" s="95" t="s">
        <v>22</v>
      </c>
      <c r="C17" s="96" t="s">
        <v>23</v>
      </c>
      <c r="D17" s="96" t="s">
        <v>56</v>
      </c>
      <c r="E17" s="97">
        <v>0.967213114754098</v>
      </c>
      <c r="F17" s="97">
        <v>1</v>
      </c>
      <c r="G17" s="97">
        <v>1</v>
      </c>
      <c r="H17" s="98">
        <v>5.08333333333333</v>
      </c>
      <c r="I17" s="98">
        <v>1.91666666666667</v>
      </c>
      <c r="J17" s="98">
        <v>0.0833333333333333</v>
      </c>
      <c r="K17" s="99">
        <v>6</v>
      </c>
      <c r="L17" s="25">
        <v>2</v>
      </c>
      <c r="M17" s="99">
        <v>0</v>
      </c>
      <c r="N17" s="95"/>
      <c r="O17">
        <f t="shared" si="0"/>
        <v>20</v>
      </c>
    </row>
    <row r="18" spans="1:15">
      <c r="A18" s="230" t="s">
        <v>57</v>
      </c>
      <c r="B18" s="90" t="s">
        <v>22</v>
      </c>
      <c r="C18" s="91" t="s">
        <v>23</v>
      </c>
      <c r="D18" s="91" t="s">
        <v>58</v>
      </c>
      <c r="E18" s="92" t="e">
        <v>#DIV/0!</v>
      </c>
      <c r="F18" s="92" t="e">
        <v>#DIV/0!</v>
      </c>
      <c r="G18" s="92" t="e">
        <v>#DIV/0!</v>
      </c>
      <c r="H18" s="93">
        <v>0</v>
      </c>
      <c r="I18" s="93">
        <v>0</v>
      </c>
      <c r="J18" s="93">
        <v>0</v>
      </c>
      <c r="K18" s="91"/>
      <c r="L18" s="91"/>
      <c r="M18" s="91"/>
      <c r="N18" s="90"/>
      <c r="O18">
        <f t="shared" si="0"/>
        <v>0</v>
      </c>
    </row>
    <row r="19" spans="1:15">
      <c r="A19" s="231" t="s">
        <v>59</v>
      </c>
      <c r="B19" s="95" t="s">
        <v>22</v>
      </c>
      <c r="C19" s="96" t="s">
        <v>23</v>
      </c>
      <c r="D19" s="96" t="s">
        <v>60</v>
      </c>
      <c r="E19" s="97">
        <v>1.01162790697674</v>
      </c>
      <c r="F19" s="97">
        <v>1</v>
      </c>
      <c r="G19" s="97" t="e">
        <v>#DIV/0!</v>
      </c>
      <c r="H19" s="98">
        <v>7.16666666666667</v>
      </c>
      <c r="I19" s="98">
        <v>3.08333333333333</v>
      </c>
      <c r="J19" s="98">
        <v>0</v>
      </c>
      <c r="K19" s="99">
        <v>6</v>
      </c>
      <c r="L19" s="25">
        <v>2</v>
      </c>
      <c r="M19" s="99">
        <v>0</v>
      </c>
      <c r="N19" s="95"/>
      <c r="O19">
        <f t="shared" si="0"/>
        <v>20</v>
      </c>
    </row>
    <row r="20" spans="1:15">
      <c r="A20" s="230" t="s">
        <v>61</v>
      </c>
      <c r="B20" s="90" t="s">
        <v>22</v>
      </c>
      <c r="C20" s="91" t="s">
        <v>23</v>
      </c>
      <c r="D20" s="91" t="s">
        <v>62</v>
      </c>
      <c r="E20" s="92">
        <v>1</v>
      </c>
      <c r="F20" s="92">
        <v>0.967741935483871</v>
      </c>
      <c r="G20" s="92" t="e">
        <v>#DIV/0!</v>
      </c>
      <c r="H20" s="93">
        <v>9.5</v>
      </c>
      <c r="I20" s="93">
        <v>2.58333333333333</v>
      </c>
      <c r="J20" s="93">
        <v>0</v>
      </c>
      <c r="K20" s="94">
        <v>8</v>
      </c>
      <c r="L20" s="23">
        <v>4</v>
      </c>
      <c r="M20" s="94">
        <v>0</v>
      </c>
      <c r="N20" s="90"/>
      <c r="O20">
        <f t="shared" si="0"/>
        <v>40</v>
      </c>
    </row>
    <row r="21" spans="1:15">
      <c r="A21" s="231" t="s">
        <v>63</v>
      </c>
      <c r="B21" s="95" t="s">
        <v>22</v>
      </c>
      <c r="C21" s="96" t="s">
        <v>23</v>
      </c>
      <c r="D21" s="96" t="s">
        <v>64</v>
      </c>
      <c r="E21" s="97">
        <v>0.973684210526316</v>
      </c>
      <c r="F21" s="97">
        <v>1</v>
      </c>
      <c r="G21" s="97" t="e">
        <v>#DIV/0!</v>
      </c>
      <c r="H21" s="98">
        <v>3.16666666666667</v>
      </c>
      <c r="I21" s="98">
        <v>1.33333333333333</v>
      </c>
      <c r="J21" s="98">
        <v>0</v>
      </c>
      <c r="K21" s="99">
        <v>4</v>
      </c>
      <c r="L21" s="25">
        <v>1</v>
      </c>
      <c r="M21" s="99">
        <v>0</v>
      </c>
      <c r="N21" s="95"/>
      <c r="O21">
        <f t="shared" si="0"/>
        <v>10</v>
      </c>
    </row>
    <row r="22" spans="1:15">
      <c r="A22" s="230" t="s">
        <v>65</v>
      </c>
      <c r="B22" s="90" t="s">
        <v>22</v>
      </c>
      <c r="C22" s="91" t="s">
        <v>23</v>
      </c>
      <c r="D22" s="91" t="s">
        <v>66</v>
      </c>
      <c r="E22" s="92">
        <v>1</v>
      </c>
      <c r="F22" s="92">
        <v>0.916666666666667</v>
      </c>
      <c r="G22" s="92" t="e">
        <v>#DIV/0!</v>
      </c>
      <c r="H22" s="93">
        <v>6.41666666666667</v>
      </c>
      <c r="I22" s="93">
        <v>1</v>
      </c>
      <c r="J22" s="93">
        <v>0</v>
      </c>
      <c r="K22" s="94">
        <v>6</v>
      </c>
      <c r="L22" s="23">
        <v>2</v>
      </c>
      <c r="M22" s="94">
        <v>0</v>
      </c>
      <c r="N22" s="90"/>
      <c r="O22">
        <f t="shared" si="0"/>
        <v>20</v>
      </c>
    </row>
    <row r="23" spans="1:15">
      <c r="A23" s="231" t="s">
        <v>67</v>
      </c>
      <c r="B23" s="95" t="s">
        <v>22</v>
      </c>
      <c r="C23" s="96" t="s">
        <v>23</v>
      </c>
      <c r="D23" s="96" t="s">
        <v>68</v>
      </c>
      <c r="E23" s="97">
        <v>0.930555555555556</v>
      </c>
      <c r="F23" s="97">
        <v>1.15384615384615</v>
      </c>
      <c r="G23" s="97" t="e">
        <v>#DIV/0!</v>
      </c>
      <c r="H23" s="98">
        <v>6</v>
      </c>
      <c r="I23" s="98">
        <v>1.08333333333333</v>
      </c>
      <c r="J23" s="98">
        <v>0</v>
      </c>
      <c r="K23" s="99">
        <v>4</v>
      </c>
      <c r="L23" s="25">
        <v>4</v>
      </c>
      <c r="M23" s="99">
        <v>0</v>
      </c>
      <c r="N23" s="95"/>
      <c r="O23">
        <f t="shared" si="0"/>
        <v>40</v>
      </c>
    </row>
    <row r="24" spans="1:15">
      <c r="A24" s="230" t="s">
        <v>69</v>
      </c>
      <c r="B24" s="90" t="s">
        <v>22</v>
      </c>
      <c r="C24" s="91" t="s">
        <v>23</v>
      </c>
      <c r="D24" s="91" t="s">
        <v>70</v>
      </c>
      <c r="E24" s="92">
        <v>0.866666666666667</v>
      </c>
      <c r="F24" s="92">
        <v>1</v>
      </c>
      <c r="G24" s="92" t="e">
        <v>#DIV/0!</v>
      </c>
      <c r="H24" s="93">
        <v>2.5</v>
      </c>
      <c r="I24" s="93">
        <v>0.916666666666667</v>
      </c>
      <c r="J24" s="93">
        <v>0</v>
      </c>
      <c r="K24" s="94">
        <v>3</v>
      </c>
      <c r="L24" s="23">
        <v>1</v>
      </c>
      <c r="M24" s="94">
        <v>0</v>
      </c>
      <c r="N24" s="90"/>
      <c r="O24">
        <f t="shared" si="0"/>
        <v>10</v>
      </c>
    </row>
    <row r="25" spans="1:15">
      <c r="A25" s="90"/>
      <c r="B25" s="90"/>
      <c r="C25" s="90"/>
      <c r="D25" s="91"/>
      <c r="E25" s="90"/>
      <c r="F25" s="90"/>
      <c r="G25" s="90"/>
      <c r="H25" s="90"/>
      <c r="I25" s="90"/>
      <c r="J25" s="90"/>
      <c r="K25" s="90"/>
      <c r="L25" s="90"/>
      <c r="M25" s="90"/>
      <c r="N25" s="90"/>
      <c r="O25">
        <f t="shared" si="0"/>
        <v>0</v>
      </c>
    </row>
    <row r="26" spans="1:15">
      <c r="A26" s="95">
        <v>24</v>
      </c>
      <c r="B26" s="95" t="s">
        <v>22</v>
      </c>
      <c r="C26" s="96" t="s">
        <v>71</v>
      </c>
      <c r="D26" s="96" t="s">
        <v>72</v>
      </c>
      <c r="E26" s="97">
        <v>1</v>
      </c>
      <c r="F26" s="97">
        <v>1</v>
      </c>
      <c r="G26" s="97" t="e">
        <v>#DIV/0!</v>
      </c>
      <c r="H26" s="98">
        <v>3.58333333333333</v>
      </c>
      <c r="I26" s="98">
        <v>2.33333333333333</v>
      </c>
      <c r="J26" s="98">
        <v>0</v>
      </c>
      <c r="K26" s="95">
        <v>4</v>
      </c>
      <c r="L26" s="95">
        <v>2</v>
      </c>
      <c r="M26" s="95">
        <v>0</v>
      </c>
      <c r="N26" s="95"/>
      <c r="O26">
        <f t="shared" si="0"/>
        <v>20</v>
      </c>
    </row>
    <row r="27" spans="1:15">
      <c r="A27" s="90">
        <v>25</v>
      </c>
      <c r="B27" s="90" t="s">
        <v>22</v>
      </c>
      <c r="C27" s="91" t="s">
        <v>71</v>
      </c>
      <c r="D27" s="91" t="s">
        <v>73</v>
      </c>
      <c r="E27" s="92">
        <v>0.935897435897436</v>
      </c>
      <c r="F27" s="92">
        <v>0.7</v>
      </c>
      <c r="G27" s="92" t="e">
        <v>#DIV/0!</v>
      </c>
      <c r="H27" s="93">
        <v>6.5</v>
      </c>
      <c r="I27" s="93">
        <v>2.5</v>
      </c>
      <c r="J27" s="93">
        <v>0</v>
      </c>
      <c r="K27" s="90">
        <v>6</v>
      </c>
      <c r="L27" s="90">
        <v>4</v>
      </c>
      <c r="M27" s="90">
        <v>0</v>
      </c>
      <c r="N27" s="90"/>
      <c r="O27">
        <f t="shared" si="0"/>
        <v>40</v>
      </c>
    </row>
    <row r="28" spans="1:15">
      <c r="A28" s="95">
        <v>26</v>
      </c>
      <c r="B28" s="95" t="s">
        <v>22</v>
      </c>
      <c r="C28" s="96" t="s">
        <v>71</v>
      </c>
      <c r="D28" s="96" t="s">
        <v>74</v>
      </c>
      <c r="E28" s="97">
        <v>0.979166666666667</v>
      </c>
      <c r="F28" s="97">
        <v>0.538461538461538</v>
      </c>
      <c r="G28" s="97" t="e">
        <v>#DIV/0!</v>
      </c>
      <c r="H28" s="98">
        <v>4</v>
      </c>
      <c r="I28" s="98">
        <v>2.16666666666667</v>
      </c>
      <c r="J28" s="98">
        <v>0</v>
      </c>
      <c r="K28" s="95">
        <v>4</v>
      </c>
      <c r="L28" s="95">
        <v>2</v>
      </c>
      <c r="M28" s="95">
        <v>0</v>
      </c>
      <c r="N28" s="95"/>
      <c r="O28">
        <f t="shared" si="0"/>
        <v>20</v>
      </c>
    </row>
    <row r="29" spans="1:15">
      <c r="A29" s="90">
        <v>27</v>
      </c>
      <c r="B29" s="90" t="s">
        <v>22</v>
      </c>
      <c r="C29" s="91" t="s">
        <v>71</v>
      </c>
      <c r="D29" s="91" t="s">
        <v>75</v>
      </c>
      <c r="E29" s="92">
        <v>0.939393939393939</v>
      </c>
      <c r="F29" s="92">
        <v>0.976190476190476</v>
      </c>
      <c r="G29" s="92" t="e">
        <v>#DIV/0!</v>
      </c>
      <c r="H29" s="93">
        <v>5.5</v>
      </c>
      <c r="I29" s="93">
        <v>3.5</v>
      </c>
      <c r="J29" s="93">
        <v>0</v>
      </c>
      <c r="K29" s="90">
        <v>8</v>
      </c>
      <c r="L29" s="90">
        <v>4</v>
      </c>
      <c r="M29" s="90">
        <v>0</v>
      </c>
      <c r="N29" s="90"/>
      <c r="O29">
        <f t="shared" si="0"/>
        <v>40</v>
      </c>
    </row>
    <row r="30" spans="1:15">
      <c r="A30" s="95">
        <v>28</v>
      </c>
      <c r="B30" s="95" t="s">
        <v>22</v>
      </c>
      <c r="C30" s="96" t="s">
        <v>71</v>
      </c>
      <c r="D30" s="96" t="s">
        <v>76</v>
      </c>
      <c r="E30" s="97">
        <v>0.918918918918919</v>
      </c>
      <c r="F30" s="97">
        <v>0.933333333333333</v>
      </c>
      <c r="G30" s="97" t="e">
        <v>#DIV/0!</v>
      </c>
      <c r="H30" s="98">
        <v>3.08333333333333</v>
      </c>
      <c r="I30" s="98">
        <v>1.25</v>
      </c>
      <c r="J30" s="98">
        <v>0</v>
      </c>
      <c r="K30" s="95">
        <v>4</v>
      </c>
      <c r="L30" s="95">
        <v>2</v>
      </c>
      <c r="M30" s="95">
        <v>0</v>
      </c>
      <c r="N30" s="95"/>
      <c r="O30">
        <f t="shared" si="0"/>
        <v>20</v>
      </c>
    </row>
    <row r="31" spans="1:15">
      <c r="A31" s="90">
        <v>29</v>
      </c>
      <c r="B31" s="90" t="s">
        <v>22</v>
      </c>
      <c r="C31" s="91" t="s">
        <v>71</v>
      </c>
      <c r="D31" s="91" t="s">
        <v>77</v>
      </c>
      <c r="E31" s="92">
        <v>1</v>
      </c>
      <c r="F31" s="92">
        <v>1</v>
      </c>
      <c r="G31" s="92" t="e">
        <v>#DIV/0!</v>
      </c>
      <c r="H31" s="93">
        <v>3</v>
      </c>
      <c r="I31" s="93">
        <v>3</v>
      </c>
      <c r="J31" s="93">
        <v>0</v>
      </c>
      <c r="K31" s="90">
        <v>4</v>
      </c>
      <c r="L31" s="90">
        <v>2</v>
      </c>
      <c r="M31" s="90">
        <v>0</v>
      </c>
      <c r="N31" s="90"/>
      <c r="O31">
        <f t="shared" si="0"/>
        <v>20</v>
      </c>
    </row>
    <row r="32" spans="1:15">
      <c r="A32" s="95">
        <v>30</v>
      </c>
      <c r="B32" s="95" t="s">
        <v>22</v>
      </c>
      <c r="C32" s="96" t="s">
        <v>71</v>
      </c>
      <c r="D32" s="96" t="s">
        <v>78</v>
      </c>
      <c r="E32" s="97">
        <v>0.967741935483871</v>
      </c>
      <c r="F32" s="97">
        <v>1</v>
      </c>
      <c r="G32" s="97" t="e">
        <v>#DIV/0!</v>
      </c>
      <c r="H32" s="98">
        <v>2.58333333333333</v>
      </c>
      <c r="I32" s="98">
        <v>1</v>
      </c>
      <c r="J32" s="98">
        <v>0</v>
      </c>
      <c r="K32" s="95">
        <v>4</v>
      </c>
      <c r="L32" s="95">
        <v>2</v>
      </c>
      <c r="M32" s="95">
        <v>0</v>
      </c>
      <c r="N32" s="95"/>
      <c r="O32">
        <f t="shared" si="0"/>
        <v>20</v>
      </c>
    </row>
    <row r="33" spans="1:15">
      <c r="A33" s="90">
        <v>31</v>
      </c>
      <c r="B33" s="90" t="s">
        <v>22</v>
      </c>
      <c r="C33" s="91" t="s">
        <v>71</v>
      </c>
      <c r="D33" s="91" t="s">
        <v>79</v>
      </c>
      <c r="E33" s="92">
        <v>0.763636363636364</v>
      </c>
      <c r="F33" s="92">
        <v>0.756756756756757</v>
      </c>
      <c r="G33" s="92" t="e">
        <v>#DIV/0!</v>
      </c>
      <c r="H33" s="93">
        <v>4.58333333333333</v>
      </c>
      <c r="I33" s="93">
        <v>3.08333333333333</v>
      </c>
      <c r="J33" s="93">
        <v>0</v>
      </c>
      <c r="K33" s="90">
        <v>8</v>
      </c>
      <c r="L33" s="90">
        <v>4</v>
      </c>
      <c r="M33" s="90">
        <v>0</v>
      </c>
      <c r="N33" s="90"/>
      <c r="O33">
        <f t="shared" si="0"/>
        <v>40</v>
      </c>
    </row>
    <row r="34" spans="1:15">
      <c r="A34" s="95">
        <v>32</v>
      </c>
      <c r="B34" s="95" t="s">
        <v>22</v>
      </c>
      <c r="C34" s="96" t="s">
        <v>71</v>
      </c>
      <c r="D34" s="96" t="s">
        <v>80</v>
      </c>
      <c r="E34" s="97">
        <v>0.955555555555556</v>
      </c>
      <c r="F34" s="97">
        <v>0.896551724137931</v>
      </c>
      <c r="G34" s="97" t="e">
        <v>#DIV/0!</v>
      </c>
      <c r="H34" s="98">
        <v>3.75</v>
      </c>
      <c r="I34" s="98">
        <v>2.41666666666667</v>
      </c>
      <c r="J34" s="98">
        <v>0</v>
      </c>
      <c r="K34" s="95">
        <v>4</v>
      </c>
      <c r="L34" s="95">
        <v>2</v>
      </c>
      <c r="M34" s="95">
        <v>0</v>
      </c>
      <c r="N34" s="95"/>
      <c r="O34">
        <f t="shared" si="0"/>
        <v>20</v>
      </c>
    </row>
    <row r="35" spans="1:15">
      <c r="A35" s="90">
        <v>33</v>
      </c>
      <c r="B35" s="90" t="s">
        <v>22</v>
      </c>
      <c r="C35" s="91" t="s">
        <v>71</v>
      </c>
      <c r="D35" s="91" t="s">
        <v>81</v>
      </c>
      <c r="E35" s="92">
        <v>0.829787234042553</v>
      </c>
      <c r="F35" s="92">
        <v>4.5</v>
      </c>
      <c r="G35" s="92" t="e">
        <v>#DIV/0!</v>
      </c>
      <c r="H35" s="93">
        <v>3.91666666666667</v>
      </c>
      <c r="I35" s="93">
        <v>0.166666666666667</v>
      </c>
      <c r="J35" s="93">
        <v>0</v>
      </c>
      <c r="K35" s="90">
        <v>4</v>
      </c>
      <c r="L35" s="90">
        <v>2</v>
      </c>
      <c r="M35" s="90">
        <v>0</v>
      </c>
      <c r="N35" s="90"/>
      <c r="O35">
        <f t="shared" si="0"/>
        <v>20</v>
      </c>
    </row>
    <row r="36" spans="1:15">
      <c r="A36" s="95">
        <v>34</v>
      </c>
      <c r="B36" s="95" t="s">
        <v>22</v>
      </c>
      <c r="C36" s="96" t="s">
        <v>71</v>
      </c>
      <c r="D36" s="96" t="s">
        <v>82</v>
      </c>
      <c r="E36" s="97">
        <v>1</v>
      </c>
      <c r="F36" s="97">
        <v>1.83333333333333</v>
      </c>
      <c r="G36" s="97">
        <v>0</v>
      </c>
      <c r="H36" s="98">
        <v>4</v>
      </c>
      <c r="I36" s="98">
        <v>2</v>
      </c>
      <c r="J36" s="98">
        <v>0.5</v>
      </c>
      <c r="K36" s="95">
        <v>4</v>
      </c>
      <c r="L36" s="95">
        <v>2</v>
      </c>
      <c r="M36" s="95">
        <v>0</v>
      </c>
      <c r="N36" s="95"/>
      <c r="O36">
        <f t="shared" si="0"/>
        <v>20</v>
      </c>
    </row>
    <row r="37" spans="1:15">
      <c r="A37" s="90">
        <v>35</v>
      </c>
      <c r="B37" s="90" t="s">
        <v>22</v>
      </c>
      <c r="C37" s="91" t="s">
        <v>71</v>
      </c>
      <c r="D37" s="91" t="s">
        <v>83</v>
      </c>
      <c r="E37" s="92">
        <v>0.814814814814815</v>
      </c>
      <c r="F37" s="92">
        <v>1</v>
      </c>
      <c r="G37" s="92" t="e">
        <v>#DIV/0!</v>
      </c>
      <c r="H37" s="93">
        <v>4.5</v>
      </c>
      <c r="I37" s="93">
        <v>1.83333333333333</v>
      </c>
      <c r="J37" s="93">
        <v>0</v>
      </c>
      <c r="K37" s="90">
        <v>4</v>
      </c>
      <c r="L37" s="90">
        <v>2</v>
      </c>
      <c r="M37" s="90">
        <v>0</v>
      </c>
      <c r="N37" s="90"/>
      <c r="O37">
        <f t="shared" si="0"/>
        <v>20</v>
      </c>
    </row>
    <row r="38" spans="1:15">
      <c r="A38" s="95">
        <v>36</v>
      </c>
      <c r="B38" s="95" t="s">
        <v>22</v>
      </c>
      <c r="C38" s="96" t="s">
        <v>71</v>
      </c>
      <c r="D38" s="96" t="s">
        <v>84</v>
      </c>
      <c r="E38" s="97">
        <v>1</v>
      </c>
      <c r="F38" s="97">
        <v>1</v>
      </c>
      <c r="G38" s="97" t="e">
        <v>#DIV/0!</v>
      </c>
      <c r="H38" s="98">
        <v>3.08333333333333</v>
      </c>
      <c r="I38" s="98">
        <v>0.916666666666667</v>
      </c>
      <c r="J38" s="98">
        <v>0</v>
      </c>
      <c r="K38" s="95">
        <v>4</v>
      </c>
      <c r="L38" s="95">
        <v>2</v>
      </c>
      <c r="M38" s="95">
        <v>0</v>
      </c>
      <c r="N38" s="95"/>
      <c r="O38">
        <f t="shared" si="0"/>
        <v>20</v>
      </c>
    </row>
    <row r="39" spans="1:15">
      <c r="A39" s="90">
        <v>37</v>
      </c>
      <c r="B39" s="90" t="s">
        <v>22</v>
      </c>
      <c r="C39" s="91" t="s">
        <v>71</v>
      </c>
      <c r="D39" s="91" t="s">
        <v>85</v>
      </c>
      <c r="E39" s="92">
        <v>1</v>
      </c>
      <c r="F39" s="92">
        <v>1</v>
      </c>
      <c r="G39" s="92" t="e">
        <v>#DIV/0!</v>
      </c>
      <c r="H39" s="93">
        <v>2.33333333333333</v>
      </c>
      <c r="I39" s="93">
        <v>1.33333333333333</v>
      </c>
      <c r="J39" s="93">
        <v>0</v>
      </c>
      <c r="K39" s="90">
        <v>4</v>
      </c>
      <c r="L39" s="90">
        <v>2</v>
      </c>
      <c r="M39" s="90">
        <v>0</v>
      </c>
      <c r="N39" s="90"/>
      <c r="O39">
        <f t="shared" si="0"/>
        <v>20</v>
      </c>
    </row>
    <row r="40" spans="1:15">
      <c r="A40" s="95">
        <v>38</v>
      </c>
      <c r="B40" s="95" t="s">
        <v>22</v>
      </c>
      <c r="C40" s="96" t="s">
        <v>71</v>
      </c>
      <c r="D40" s="96" t="s">
        <v>86</v>
      </c>
      <c r="E40" s="97">
        <v>0.967741935483871</v>
      </c>
      <c r="F40" s="97">
        <v>0.961538461538462</v>
      </c>
      <c r="G40" s="97" t="e">
        <v>#DIV/0!</v>
      </c>
      <c r="H40" s="98">
        <v>2.58333333333333</v>
      </c>
      <c r="I40" s="98">
        <v>2.16666666666667</v>
      </c>
      <c r="J40" s="98">
        <v>0</v>
      </c>
      <c r="K40" s="95">
        <v>4</v>
      </c>
      <c r="L40" s="95">
        <v>2</v>
      </c>
      <c r="M40" s="95">
        <v>0</v>
      </c>
      <c r="N40" s="95"/>
      <c r="O40">
        <f t="shared" si="0"/>
        <v>20</v>
      </c>
    </row>
    <row r="41" spans="1:15">
      <c r="A41" s="90">
        <v>39</v>
      </c>
      <c r="B41" s="90" t="s">
        <v>22</v>
      </c>
      <c r="C41" s="91" t="s">
        <v>71</v>
      </c>
      <c r="D41" s="91" t="s">
        <v>87</v>
      </c>
      <c r="E41" s="92">
        <v>1</v>
      </c>
      <c r="F41" s="92">
        <v>1</v>
      </c>
      <c r="G41" s="92">
        <v>1</v>
      </c>
      <c r="H41" s="93">
        <v>2</v>
      </c>
      <c r="I41" s="93">
        <v>1.58333333333333</v>
      </c>
      <c r="J41" s="93">
        <v>0.333333333333333</v>
      </c>
      <c r="K41" s="90">
        <v>4</v>
      </c>
      <c r="L41" s="90">
        <v>2</v>
      </c>
      <c r="M41" s="90">
        <v>0</v>
      </c>
      <c r="N41" s="90"/>
      <c r="O41">
        <f t="shared" si="0"/>
        <v>20</v>
      </c>
    </row>
    <row r="42" spans="1:15">
      <c r="A42" s="95">
        <v>40</v>
      </c>
      <c r="B42" s="95" t="s">
        <v>22</v>
      </c>
      <c r="C42" s="96" t="s">
        <v>71</v>
      </c>
      <c r="D42" s="96" t="s">
        <v>88</v>
      </c>
      <c r="E42" s="97">
        <v>1</v>
      </c>
      <c r="F42" s="97">
        <v>0.967741935483871</v>
      </c>
      <c r="G42" s="97" t="e">
        <v>#DIV/0!</v>
      </c>
      <c r="H42" s="98">
        <v>2.08333333333333</v>
      </c>
      <c r="I42" s="98">
        <v>2.58333333333333</v>
      </c>
      <c r="J42" s="98">
        <v>0</v>
      </c>
      <c r="K42" s="95">
        <v>4</v>
      </c>
      <c r="L42" s="95">
        <v>2</v>
      </c>
      <c r="M42" s="95">
        <v>0</v>
      </c>
      <c r="N42" s="95"/>
      <c r="O42">
        <f t="shared" si="0"/>
        <v>20</v>
      </c>
    </row>
    <row r="43" spans="1:15">
      <c r="A43" s="90">
        <v>41</v>
      </c>
      <c r="B43" s="90" t="s">
        <v>22</v>
      </c>
      <c r="C43" s="91" t="s">
        <v>71</v>
      </c>
      <c r="D43" s="91" t="s">
        <v>89</v>
      </c>
      <c r="E43" s="92">
        <v>1</v>
      </c>
      <c r="F43" s="92">
        <v>1</v>
      </c>
      <c r="G43" s="92" t="e">
        <v>#DIV/0!</v>
      </c>
      <c r="H43" s="93">
        <v>2</v>
      </c>
      <c r="I43" s="93">
        <v>1.66666666666667</v>
      </c>
      <c r="J43" s="93">
        <v>0</v>
      </c>
      <c r="K43" s="90">
        <v>4</v>
      </c>
      <c r="L43" s="90">
        <v>2</v>
      </c>
      <c r="M43" s="90">
        <v>0</v>
      </c>
      <c r="N43" s="90"/>
      <c r="O43">
        <f t="shared" si="0"/>
        <v>20</v>
      </c>
    </row>
    <row r="44" spans="1:15">
      <c r="A44" s="95">
        <v>42</v>
      </c>
      <c r="B44" s="95" t="s">
        <v>22</v>
      </c>
      <c r="C44" s="96" t="s">
        <v>71</v>
      </c>
      <c r="D44" s="96" t="s">
        <v>90</v>
      </c>
      <c r="E44" s="97">
        <v>0.711538461538462</v>
      </c>
      <c r="F44" s="97">
        <v>0.787878787878788</v>
      </c>
      <c r="G44" s="97" t="e">
        <v>#DIV/0!</v>
      </c>
      <c r="H44" s="98">
        <v>4.33333333333333</v>
      </c>
      <c r="I44" s="98">
        <v>2.75</v>
      </c>
      <c r="J44" s="98">
        <v>0</v>
      </c>
      <c r="K44" s="95">
        <v>4</v>
      </c>
      <c r="L44" s="95">
        <v>2</v>
      </c>
      <c r="M44" s="95">
        <v>0</v>
      </c>
      <c r="N44" s="95"/>
      <c r="O44">
        <f t="shared" si="0"/>
        <v>20</v>
      </c>
    </row>
    <row r="45" spans="1:15">
      <c r="A45" s="90">
        <v>43</v>
      </c>
      <c r="B45" s="90" t="s">
        <v>22</v>
      </c>
      <c r="C45" s="91" t="s">
        <v>71</v>
      </c>
      <c r="D45" s="91" t="s">
        <v>91</v>
      </c>
      <c r="E45" s="92">
        <v>0.732673267326733</v>
      </c>
      <c r="F45" s="92">
        <v>1</v>
      </c>
      <c r="G45" s="92" t="e">
        <v>#DIV/0!</v>
      </c>
      <c r="H45" s="93">
        <v>8.41666666666667</v>
      </c>
      <c r="I45" s="93">
        <v>1.83333333333333</v>
      </c>
      <c r="J45" s="93">
        <v>0</v>
      </c>
      <c r="K45" s="90">
        <v>4</v>
      </c>
      <c r="L45" s="90">
        <v>2</v>
      </c>
      <c r="M45" s="90">
        <v>0</v>
      </c>
      <c r="N45" s="90"/>
      <c r="O45">
        <f t="shared" si="0"/>
        <v>20</v>
      </c>
    </row>
    <row r="46" spans="1:15">
      <c r="A46" s="95">
        <v>44</v>
      </c>
      <c r="B46" s="95" t="s">
        <v>22</v>
      </c>
      <c r="C46" s="96" t="s">
        <v>71</v>
      </c>
      <c r="D46" s="96" t="s">
        <v>92</v>
      </c>
      <c r="E46" s="97">
        <v>0.7</v>
      </c>
      <c r="F46" s="97">
        <v>0.9</v>
      </c>
      <c r="G46" s="97" t="e">
        <v>#DIV/0!</v>
      </c>
      <c r="H46" s="98">
        <v>4.16666666666667</v>
      </c>
      <c r="I46" s="98">
        <v>2.5</v>
      </c>
      <c r="J46" s="98">
        <v>0</v>
      </c>
      <c r="K46" s="95">
        <v>4</v>
      </c>
      <c r="L46" s="95">
        <v>2</v>
      </c>
      <c r="M46" s="95">
        <v>0</v>
      </c>
      <c r="N46" s="95"/>
      <c r="O46">
        <f t="shared" si="0"/>
        <v>20</v>
      </c>
    </row>
    <row r="47" spans="1:15">
      <c r="A47" s="90">
        <v>45</v>
      </c>
      <c r="B47" s="90" t="s">
        <v>22</v>
      </c>
      <c r="C47" s="91" t="s">
        <v>71</v>
      </c>
      <c r="D47" s="91" t="s">
        <v>93</v>
      </c>
      <c r="E47" s="92">
        <v>1</v>
      </c>
      <c r="F47" s="92">
        <v>1</v>
      </c>
      <c r="G47" s="92" t="e">
        <v>#DIV/0!</v>
      </c>
      <c r="H47" s="93">
        <v>3.33333333333333</v>
      </c>
      <c r="I47" s="93">
        <v>7.08333333333333</v>
      </c>
      <c r="J47" s="93">
        <v>0</v>
      </c>
      <c r="K47" s="90">
        <v>4</v>
      </c>
      <c r="L47" s="90">
        <v>2</v>
      </c>
      <c r="M47" s="90">
        <v>0</v>
      </c>
      <c r="N47" s="90"/>
      <c r="O47">
        <f t="shared" si="0"/>
        <v>20</v>
      </c>
    </row>
    <row r="48" spans="1:15">
      <c r="A48" s="95">
        <v>46</v>
      </c>
      <c r="B48" s="95" t="s">
        <v>22</v>
      </c>
      <c r="C48" s="96" t="s">
        <v>71</v>
      </c>
      <c r="D48" s="96" t="s">
        <v>94</v>
      </c>
      <c r="E48" s="97">
        <v>0.864864864864865</v>
      </c>
      <c r="F48" s="97">
        <v>0.6</v>
      </c>
      <c r="G48" s="97" t="e">
        <v>#DIV/0!</v>
      </c>
      <c r="H48" s="98">
        <v>3.08333333333333</v>
      </c>
      <c r="I48" s="98">
        <v>2.08333333333333</v>
      </c>
      <c r="J48" s="98">
        <v>0</v>
      </c>
      <c r="K48" s="95">
        <v>4</v>
      </c>
      <c r="L48" s="95">
        <v>2</v>
      </c>
      <c r="M48" s="95">
        <v>0</v>
      </c>
      <c r="N48" s="95"/>
      <c r="O48">
        <f t="shared" si="0"/>
        <v>20</v>
      </c>
    </row>
    <row r="49" spans="1:15">
      <c r="A49" s="90">
        <v>47</v>
      </c>
      <c r="B49" s="90" t="s">
        <v>22</v>
      </c>
      <c r="C49" s="91" t="s">
        <v>71</v>
      </c>
      <c r="D49" s="91" t="s">
        <v>95</v>
      </c>
      <c r="E49" s="92">
        <v>0.680851063829787</v>
      </c>
      <c r="F49" s="92">
        <v>0.53125</v>
      </c>
      <c r="G49" s="92" t="e">
        <v>#DIV/0!</v>
      </c>
      <c r="H49" s="93">
        <v>3.91666666666667</v>
      </c>
      <c r="I49" s="93">
        <v>2.66666666666667</v>
      </c>
      <c r="J49" s="93">
        <v>0</v>
      </c>
      <c r="K49" s="90">
        <v>4</v>
      </c>
      <c r="L49" s="90">
        <v>2</v>
      </c>
      <c r="M49" s="90">
        <v>0</v>
      </c>
      <c r="N49" s="90"/>
      <c r="O49">
        <f t="shared" si="0"/>
        <v>20</v>
      </c>
    </row>
    <row r="50" spans="1:15">
      <c r="A50" s="95">
        <v>48</v>
      </c>
      <c r="B50" s="95" t="s">
        <v>22</v>
      </c>
      <c r="C50" s="96" t="s">
        <v>71</v>
      </c>
      <c r="D50" s="96" t="s">
        <v>96</v>
      </c>
      <c r="E50" s="97">
        <v>1</v>
      </c>
      <c r="F50" s="97">
        <v>1</v>
      </c>
      <c r="G50" s="97">
        <v>1</v>
      </c>
      <c r="H50" s="98">
        <v>2.33333333333333</v>
      </c>
      <c r="I50" s="98">
        <v>1.33333333333333</v>
      </c>
      <c r="J50" s="98">
        <v>0.333333333333333</v>
      </c>
      <c r="K50" s="95">
        <v>4</v>
      </c>
      <c r="L50" s="95">
        <v>2</v>
      </c>
      <c r="M50" s="95">
        <v>0</v>
      </c>
      <c r="N50" s="95"/>
      <c r="O50">
        <f t="shared" si="0"/>
        <v>20</v>
      </c>
    </row>
    <row r="51" spans="1:15">
      <c r="A51" s="90">
        <v>49</v>
      </c>
      <c r="B51" s="90" t="s">
        <v>22</v>
      </c>
      <c r="C51" s="91" t="s">
        <v>71</v>
      </c>
      <c r="D51" s="91" t="s">
        <v>97</v>
      </c>
      <c r="E51" s="92">
        <v>1</v>
      </c>
      <c r="F51" s="92">
        <v>1</v>
      </c>
      <c r="G51" s="92" t="e">
        <v>#DIV/0!</v>
      </c>
      <c r="H51" s="93">
        <v>4.08333333333333</v>
      </c>
      <c r="I51" s="93">
        <v>1.91666666666667</v>
      </c>
      <c r="J51" s="93">
        <v>0</v>
      </c>
      <c r="K51" s="90">
        <v>4</v>
      </c>
      <c r="L51" s="90">
        <v>2</v>
      </c>
      <c r="M51" s="90">
        <v>0</v>
      </c>
      <c r="N51" s="90"/>
      <c r="O51">
        <f t="shared" si="0"/>
        <v>20</v>
      </c>
    </row>
    <row r="52" spans="1:15">
      <c r="A52" s="95">
        <v>50</v>
      </c>
      <c r="B52" s="95" t="s">
        <v>22</v>
      </c>
      <c r="C52" s="96" t="s">
        <v>71</v>
      </c>
      <c r="D52" s="96" t="s">
        <v>98</v>
      </c>
      <c r="E52" s="97">
        <v>0.931034482758621</v>
      </c>
      <c r="F52" s="97">
        <v>1</v>
      </c>
      <c r="G52" s="97" t="e">
        <v>#DIV/0!</v>
      </c>
      <c r="H52" s="98">
        <v>2.41666666666667</v>
      </c>
      <c r="I52" s="98">
        <v>0.75</v>
      </c>
      <c r="J52" s="98">
        <v>0</v>
      </c>
      <c r="K52" s="95">
        <v>4</v>
      </c>
      <c r="L52" s="95">
        <v>2</v>
      </c>
      <c r="M52" s="95">
        <v>0</v>
      </c>
      <c r="N52" s="95"/>
      <c r="O52">
        <f t="shared" si="0"/>
        <v>20</v>
      </c>
    </row>
    <row r="53" spans="1:15">
      <c r="A53" s="90">
        <v>51</v>
      </c>
      <c r="B53" s="90" t="s">
        <v>22</v>
      </c>
      <c r="C53" s="91" t="s">
        <v>71</v>
      </c>
      <c r="D53" s="91" t="s">
        <v>99</v>
      </c>
      <c r="E53" s="92">
        <v>1</v>
      </c>
      <c r="F53" s="92">
        <v>1</v>
      </c>
      <c r="G53" s="92" t="e">
        <v>#DIV/0!</v>
      </c>
      <c r="H53" s="93">
        <v>2</v>
      </c>
      <c r="I53" s="93">
        <v>1.66666666666667</v>
      </c>
      <c r="J53" s="93">
        <v>0</v>
      </c>
      <c r="K53" s="90">
        <v>4</v>
      </c>
      <c r="L53" s="90">
        <v>2</v>
      </c>
      <c r="M53" s="90">
        <v>0</v>
      </c>
      <c r="N53" s="90"/>
      <c r="O53">
        <f t="shared" si="0"/>
        <v>20</v>
      </c>
    </row>
    <row r="54" spans="1:15">
      <c r="A54" s="95">
        <v>52</v>
      </c>
      <c r="B54" s="95" t="s">
        <v>22</v>
      </c>
      <c r="C54" s="96" t="s">
        <v>71</v>
      </c>
      <c r="D54" s="96" t="s">
        <v>100</v>
      </c>
      <c r="E54" s="97">
        <v>0.672413793103448</v>
      </c>
      <c r="F54" s="97">
        <v>1</v>
      </c>
      <c r="G54" s="97" t="e">
        <v>#DIV/0!</v>
      </c>
      <c r="H54" s="98">
        <v>4.83333333333333</v>
      </c>
      <c r="I54" s="98">
        <v>1.66666666666667</v>
      </c>
      <c r="J54" s="98">
        <v>0</v>
      </c>
      <c r="K54" s="95">
        <v>8</v>
      </c>
      <c r="L54" s="95">
        <v>8</v>
      </c>
      <c r="M54" s="95">
        <v>0</v>
      </c>
      <c r="N54" s="95"/>
      <c r="O54">
        <f t="shared" si="0"/>
        <v>80</v>
      </c>
    </row>
    <row r="55" spans="1:15">
      <c r="A55" s="90">
        <v>53</v>
      </c>
      <c r="B55" s="90" t="s">
        <v>22</v>
      </c>
      <c r="C55" s="91" t="s">
        <v>71</v>
      </c>
      <c r="D55" s="91" t="s">
        <v>101</v>
      </c>
      <c r="E55" s="92">
        <v>0.971428571428571</v>
      </c>
      <c r="F55" s="92">
        <v>1</v>
      </c>
      <c r="G55" s="92" t="e">
        <v>#DIV/0!</v>
      </c>
      <c r="H55" s="93">
        <v>2.91666666666667</v>
      </c>
      <c r="I55" s="93">
        <v>1.41666666666667</v>
      </c>
      <c r="J55" s="93">
        <v>0</v>
      </c>
      <c r="K55" s="90">
        <v>4</v>
      </c>
      <c r="L55" s="90">
        <v>2</v>
      </c>
      <c r="M55" s="90">
        <v>0</v>
      </c>
      <c r="N55" s="90"/>
      <c r="O55">
        <f t="shared" si="0"/>
        <v>20</v>
      </c>
    </row>
    <row r="56" spans="1:15">
      <c r="A56" s="95">
        <v>54</v>
      </c>
      <c r="B56" s="95" t="s">
        <v>22</v>
      </c>
      <c r="C56" s="96" t="s">
        <v>71</v>
      </c>
      <c r="D56" s="96" t="s">
        <v>102</v>
      </c>
      <c r="E56" s="97">
        <v>1.02884615384615</v>
      </c>
      <c r="F56" s="97">
        <v>0.541666666666667</v>
      </c>
      <c r="G56" s="97" t="e">
        <v>#DIV/0!</v>
      </c>
      <c r="H56" s="98">
        <v>8.66666666666667</v>
      </c>
      <c r="I56" s="98">
        <v>4</v>
      </c>
      <c r="J56" s="98">
        <v>0</v>
      </c>
      <c r="K56" s="95">
        <v>4</v>
      </c>
      <c r="L56" s="95">
        <v>2</v>
      </c>
      <c r="M56" s="95">
        <v>0</v>
      </c>
      <c r="N56" s="95"/>
      <c r="O56">
        <f t="shared" si="0"/>
        <v>20</v>
      </c>
    </row>
    <row r="57" spans="1:15">
      <c r="A57" s="90">
        <v>55</v>
      </c>
      <c r="B57" s="90" t="s">
        <v>22</v>
      </c>
      <c r="C57" s="91" t="s">
        <v>71</v>
      </c>
      <c r="D57" s="91" t="s">
        <v>103</v>
      </c>
      <c r="E57" s="92">
        <v>0.944444444444444</v>
      </c>
      <c r="F57" s="92">
        <v>0.875</v>
      </c>
      <c r="G57" s="92">
        <v>0</v>
      </c>
      <c r="H57" s="93">
        <v>4.5</v>
      </c>
      <c r="I57" s="93">
        <v>2.66666666666667</v>
      </c>
      <c r="J57" s="93">
        <v>0.583333333333333</v>
      </c>
      <c r="K57" s="90">
        <v>4</v>
      </c>
      <c r="L57" s="90">
        <v>2</v>
      </c>
      <c r="M57" s="90">
        <v>0</v>
      </c>
      <c r="N57" s="90"/>
      <c r="O57">
        <f t="shared" si="0"/>
        <v>20</v>
      </c>
    </row>
    <row r="58" spans="1:15">
      <c r="A58" s="95">
        <v>56</v>
      </c>
      <c r="B58" s="95" t="s">
        <v>22</v>
      </c>
      <c r="C58" s="96" t="s">
        <v>71</v>
      </c>
      <c r="D58" s="96" t="s">
        <v>104</v>
      </c>
      <c r="E58" s="97">
        <v>0.5</v>
      </c>
      <c r="F58" s="97">
        <v>0.434782608695652</v>
      </c>
      <c r="G58" s="97" t="e">
        <v>#DIV/0!</v>
      </c>
      <c r="H58" s="98">
        <v>5</v>
      </c>
      <c r="I58" s="98">
        <v>1.91666666666667</v>
      </c>
      <c r="J58" s="98">
        <v>0</v>
      </c>
      <c r="K58" s="95">
        <v>4</v>
      </c>
      <c r="L58" s="95">
        <v>2</v>
      </c>
      <c r="M58" s="95">
        <v>0</v>
      </c>
      <c r="N58" s="95"/>
      <c r="O58">
        <f t="shared" si="0"/>
        <v>20</v>
      </c>
    </row>
    <row r="59" spans="1:15">
      <c r="A59" s="90">
        <v>57</v>
      </c>
      <c r="B59" s="90" t="s">
        <v>22</v>
      </c>
      <c r="C59" s="91" t="s">
        <v>71</v>
      </c>
      <c r="D59" s="91" t="s">
        <v>105</v>
      </c>
      <c r="E59" s="92">
        <v>0.65</v>
      </c>
      <c r="F59" s="92">
        <v>0.65</v>
      </c>
      <c r="G59" s="92" t="e">
        <v>#DIV/0!</v>
      </c>
      <c r="H59" s="93">
        <v>1.66666666666667</v>
      </c>
      <c r="I59" s="93">
        <v>1.66666666666667</v>
      </c>
      <c r="J59" s="93">
        <v>0</v>
      </c>
      <c r="K59" s="90">
        <v>4</v>
      </c>
      <c r="L59" s="90">
        <v>2</v>
      </c>
      <c r="M59" s="90">
        <v>0</v>
      </c>
      <c r="N59" s="90"/>
      <c r="O59">
        <f t="shared" si="0"/>
        <v>20</v>
      </c>
    </row>
    <row r="60" spans="1:15">
      <c r="A60" s="95">
        <v>58</v>
      </c>
      <c r="B60" s="95" t="s">
        <v>22</v>
      </c>
      <c r="C60" s="96" t="s">
        <v>71</v>
      </c>
      <c r="D60" s="96" t="s">
        <v>106</v>
      </c>
      <c r="E60" s="97">
        <v>0.842105263157895</v>
      </c>
      <c r="F60" s="97">
        <v>0.909090909090909</v>
      </c>
      <c r="G60" s="97" t="e">
        <v>#DIV/0!</v>
      </c>
      <c r="H60" s="98">
        <v>3.16666666666667</v>
      </c>
      <c r="I60" s="98">
        <v>1.83333333333333</v>
      </c>
      <c r="J60" s="98">
        <v>0</v>
      </c>
      <c r="K60" s="95">
        <v>4</v>
      </c>
      <c r="L60" s="95">
        <v>2</v>
      </c>
      <c r="M60" s="95">
        <v>0</v>
      </c>
      <c r="N60" s="95"/>
      <c r="O60">
        <f t="shared" si="0"/>
        <v>20</v>
      </c>
    </row>
    <row r="61" spans="1:15">
      <c r="A61" s="90">
        <v>59</v>
      </c>
      <c r="B61" s="90" t="s">
        <v>22</v>
      </c>
      <c r="C61" s="91" t="s">
        <v>71</v>
      </c>
      <c r="D61" s="91" t="s">
        <v>107</v>
      </c>
      <c r="E61" s="92">
        <v>1</v>
      </c>
      <c r="F61" s="92">
        <v>1</v>
      </c>
      <c r="G61" s="92" t="e">
        <v>#DIV/0!</v>
      </c>
      <c r="H61" s="93">
        <v>2.5</v>
      </c>
      <c r="I61" s="93">
        <v>1</v>
      </c>
      <c r="J61" s="93">
        <v>0</v>
      </c>
      <c r="K61" s="90">
        <v>4</v>
      </c>
      <c r="L61" s="90">
        <v>2</v>
      </c>
      <c r="M61" s="90">
        <v>0</v>
      </c>
      <c r="N61" s="90"/>
      <c r="O61">
        <f t="shared" si="0"/>
        <v>20</v>
      </c>
    </row>
    <row r="62" spans="1:15">
      <c r="A62" s="95">
        <v>60</v>
      </c>
      <c r="B62" s="95" t="s">
        <v>22</v>
      </c>
      <c r="C62" s="96" t="s">
        <v>71</v>
      </c>
      <c r="D62" s="96" t="s">
        <v>108</v>
      </c>
      <c r="E62" s="97">
        <v>0.95</v>
      </c>
      <c r="F62" s="97">
        <v>0.909090909090909</v>
      </c>
      <c r="G62" s="97">
        <v>1</v>
      </c>
      <c r="H62" s="98">
        <v>3.33333333333333</v>
      </c>
      <c r="I62" s="98">
        <v>1.83333333333333</v>
      </c>
      <c r="J62" s="98">
        <v>0.5</v>
      </c>
      <c r="K62" s="95">
        <v>4</v>
      </c>
      <c r="L62" s="95">
        <v>2</v>
      </c>
      <c r="M62" s="95">
        <v>0</v>
      </c>
      <c r="N62" s="95"/>
      <c r="O62">
        <f t="shared" si="0"/>
        <v>20</v>
      </c>
    </row>
    <row r="63" spans="1:15">
      <c r="A63" s="95"/>
      <c r="B63" s="95"/>
      <c r="C63" s="95"/>
      <c r="D63" s="96"/>
      <c r="E63" s="97"/>
      <c r="F63" s="97"/>
      <c r="G63" s="97"/>
      <c r="H63" s="98"/>
      <c r="I63" s="98"/>
      <c r="J63" s="98"/>
      <c r="K63" s="95"/>
      <c r="L63" s="95"/>
      <c r="M63" s="95"/>
      <c r="N63" s="95"/>
      <c r="O63">
        <f t="shared" si="0"/>
        <v>0</v>
      </c>
    </row>
    <row r="64" spans="1:15">
      <c r="A64" s="90">
        <v>62</v>
      </c>
      <c r="B64" s="90" t="s">
        <v>109</v>
      </c>
      <c r="C64" s="91" t="s">
        <v>110</v>
      </c>
      <c r="D64" s="91" t="s">
        <v>111</v>
      </c>
      <c r="E64" s="92">
        <v>0.744186046511628</v>
      </c>
      <c r="F64" s="92">
        <v>0.871794871794872</v>
      </c>
      <c r="G64" s="92" t="e">
        <v>#DIV/0!</v>
      </c>
      <c r="H64" s="93">
        <v>7.16666666666667</v>
      </c>
      <c r="I64" s="93">
        <v>6.5</v>
      </c>
      <c r="J64" s="93">
        <v>0</v>
      </c>
      <c r="K64" s="94">
        <v>6</v>
      </c>
      <c r="L64" s="94">
        <v>2</v>
      </c>
      <c r="M64" s="94">
        <v>0</v>
      </c>
      <c r="N64" s="90"/>
      <c r="O64">
        <f t="shared" si="0"/>
        <v>20</v>
      </c>
    </row>
    <row r="65" spans="1:15">
      <c r="A65" s="95">
        <v>63</v>
      </c>
      <c r="B65" s="95" t="s">
        <v>109</v>
      </c>
      <c r="C65" s="96" t="s">
        <v>110</v>
      </c>
      <c r="D65" s="96" t="s">
        <v>112</v>
      </c>
      <c r="E65" s="97">
        <v>1.03225806451613</v>
      </c>
      <c r="F65" s="97">
        <v>1.0561797752809</v>
      </c>
      <c r="G65" s="97" t="e">
        <v>#DIV/0!</v>
      </c>
      <c r="H65" s="98">
        <v>5.16666666666667</v>
      </c>
      <c r="I65" s="98">
        <v>7.41666666666667</v>
      </c>
      <c r="J65" s="98">
        <v>0</v>
      </c>
      <c r="K65" s="99">
        <v>4</v>
      </c>
      <c r="L65" s="25">
        <v>7</v>
      </c>
      <c r="M65" s="99">
        <v>0</v>
      </c>
      <c r="N65" s="95"/>
      <c r="O65">
        <f t="shared" si="0"/>
        <v>70</v>
      </c>
    </row>
    <row r="66" spans="1:15">
      <c r="A66" s="90">
        <v>64</v>
      </c>
      <c r="B66" s="90" t="s">
        <v>109</v>
      </c>
      <c r="C66" s="91" t="s">
        <v>110</v>
      </c>
      <c r="D66" s="91" t="s">
        <v>113</v>
      </c>
      <c r="E66" s="92">
        <v>0.945945945945946</v>
      </c>
      <c r="F66" s="92">
        <v>0.904761904761905</v>
      </c>
      <c r="G66" s="92" t="e">
        <v>#DIV/0!</v>
      </c>
      <c r="H66" s="93">
        <v>6.16666666666667</v>
      </c>
      <c r="I66" s="93">
        <v>3.5</v>
      </c>
      <c r="J66" s="93">
        <v>0</v>
      </c>
      <c r="K66" s="94">
        <v>4</v>
      </c>
      <c r="L66" s="23" t="s">
        <v>148</v>
      </c>
      <c r="M66" s="94">
        <v>0</v>
      </c>
      <c r="N66" s="90"/>
      <c r="O66">
        <f t="shared" si="0"/>
        <v>40</v>
      </c>
    </row>
    <row r="67" spans="1:15">
      <c r="A67" s="95">
        <v>65</v>
      </c>
      <c r="B67" s="95" t="s">
        <v>109</v>
      </c>
      <c r="C67" s="96" t="s">
        <v>110</v>
      </c>
      <c r="D67" s="96" t="s">
        <v>114</v>
      </c>
      <c r="E67" s="97">
        <v>1</v>
      </c>
      <c r="F67" s="97">
        <v>1</v>
      </c>
      <c r="G67" s="97" t="e">
        <v>#DIV/0!</v>
      </c>
      <c r="H67" s="98">
        <v>1.83333333333333</v>
      </c>
      <c r="I67" s="98">
        <v>1.5</v>
      </c>
      <c r="J67" s="98">
        <v>0</v>
      </c>
      <c r="K67" s="99">
        <v>6</v>
      </c>
      <c r="L67" s="25">
        <v>2</v>
      </c>
      <c r="M67" s="99">
        <v>0</v>
      </c>
      <c r="N67" s="95"/>
      <c r="O67">
        <f t="shared" si="0"/>
        <v>20</v>
      </c>
    </row>
    <row r="68" spans="1:15">
      <c r="A68" s="90">
        <v>66</v>
      </c>
      <c r="B68" s="90" t="s">
        <v>109</v>
      </c>
      <c r="C68" s="91" t="s">
        <v>110</v>
      </c>
      <c r="D68" s="91" t="s">
        <v>116</v>
      </c>
      <c r="E68" s="92">
        <v>0.967741935483871</v>
      </c>
      <c r="F68" s="92">
        <v>1</v>
      </c>
      <c r="G68" s="92" t="e">
        <v>#DIV/0!</v>
      </c>
      <c r="H68" s="93">
        <v>2.58333333333333</v>
      </c>
      <c r="I68" s="93">
        <v>1.08333333333333</v>
      </c>
      <c r="J68" s="93">
        <v>0</v>
      </c>
      <c r="K68" s="94">
        <v>4</v>
      </c>
      <c r="L68" s="23">
        <v>1</v>
      </c>
      <c r="M68" s="94">
        <v>0</v>
      </c>
      <c r="N68" s="90"/>
      <c r="O68">
        <f t="shared" ref="O68:O131" si="1">L68*10</f>
        <v>10</v>
      </c>
    </row>
    <row r="69" spans="1:15">
      <c r="A69" s="95">
        <v>67</v>
      </c>
      <c r="B69" s="95" t="s">
        <v>109</v>
      </c>
      <c r="C69" s="96" t="s">
        <v>110</v>
      </c>
      <c r="D69" s="96" t="s">
        <v>117</v>
      </c>
      <c r="E69" s="97" t="e">
        <v>#DIV/0!</v>
      </c>
      <c r="F69" s="97" t="e">
        <v>#DIV/0!</v>
      </c>
      <c r="G69" s="97" t="e">
        <v>#DIV/0!</v>
      </c>
      <c r="H69" s="98">
        <v>0</v>
      </c>
      <c r="I69" s="98">
        <v>0</v>
      </c>
      <c r="J69" s="98">
        <v>0</v>
      </c>
      <c r="K69" s="99">
        <v>4</v>
      </c>
      <c r="L69" s="25">
        <v>0</v>
      </c>
      <c r="M69" s="99">
        <v>0</v>
      </c>
      <c r="N69" s="95"/>
      <c r="O69">
        <f t="shared" si="1"/>
        <v>0</v>
      </c>
    </row>
    <row r="70" spans="1:15">
      <c r="A70" s="90">
        <v>68</v>
      </c>
      <c r="B70" s="90" t="s">
        <v>109</v>
      </c>
      <c r="C70" s="91" t="s">
        <v>110</v>
      </c>
      <c r="D70" s="91" t="s">
        <v>118</v>
      </c>
      <c r="E70" s="92">
        <v>1.07692307692308</v>
      </c>
      <c r="F70" s="92">
        <v>1.06</v>
      </c>
      <c r="G70" s="92" t="e">
        <v>#DIV/0!</v>
      </c>
      <c r="H70" s="93">
        <v>4.33333333333333</v>
      </c>
      <c r="I70" s="93">
        <v>4.16666666666667</v>
      </c>
      <c r="J70" s="93">
        <v>0</v>
      </c>
      <c r="K70" s="94">
        <v>4</v>
      </c>
      <c r="L70" s="23">
        <v>4</v>
      </c>
      <c r="M70" s="94">
        <v>1</v>
      </c>
      <c r="N70" s="90"/>
      <c r="O70">
        <f t="shared" si="1"/>
        <v>40</v>
      </c>
    </row>
    <row r="71" spans="1:15">
      <c r="A71" s="95">
        <v>69</v>
      </c>
      <c r="B71" s="95" t="s">
        <v>109</v>
      </c>
      <c r="C71" s="96" t="s">
        <v>110</v>
      </c>
      <c r="D71" s="96" t="s">
        <v>119</v>
      </c>
      <c r="E71" s="97">
        <v>0.962962962962963</v>
      </c>
      <c r="F71" s="97">
        <v>0.864864864864865</v>
      </c>
      <c r="G71" s="97">
        <v>1</v>
      </c>
      <c r="H71" s="98">
        <v>4.5</v>
      </c>
      <c r="I71" s="98">
        <v>3.08333333333333</v>
      </c>
      <c r="J71" s="98">
        <v>0.333333333333333</v>
      </c>
      <c r="K71" s="99">
        <v>4</v>
      </c>
      <c r="L71" s="25">
        <v>3</v>
      </c>
      <c r="M71" s="99">
        <v>0</v>
      </c>
      <c r="N71" s="95"/>
      <c r="O71">
        <f t="shared" si="1"/>
        <v>30</v>
      </c>
    </row>
    <row r="72" spans="1:15">
      <c r="A72" s="90">
        <v>70</v>
      </c>
      <c r="B72" s="90" t="s">
        <v>109</v>
      </c>
      <c r="C72" s="91" t="s">
        <v>110</v>
      </c>
      <c r="D72" s="91" t="s">
        <v>120</v>
      </c>
      <c r="E72" s="92">
        <v>1</v>
      </c>
      <c r="F72" s="92">
        <v>1</v>
      </c>
      <c r="G72" s="92" t="e">
        <v>#DIV/0!</v>
      </c>
      <c r="H72" s="93">
        <v>8</v>
      </c>
      <c r="I72" s="93">
        <v>5.25</v>
      </c>
      <c r="J72" s="93">
        <v>0</v>
      </c>
      <c r="K72" s="94">
        <v>4</v>
      </c>
      <c r="L72" s="23">
        <v>5</v>
      </c>
      <c r="M72" s="94">
        <v>0</v>
      </c>
      <c r="N72" s="90"/>
      <c r="O72">
        <f t="shared" si="1"/>
        <v>50</v>
      </c>
    </row>
    <row r="73" spans="1:15">
      <c r="A73" s="95">
        <v>71</v>
      </c>
      <c r="B73" s="95" t="s">
        <v>109</v>
      </c>
      <c r="C73" s="96" t="s">
        <v>110</v>
      </c>
      <c r="D73" s="96" t="s">
        <v>121</v>
      </c>
      <c r="E73" s="97" t="e">
        <v>#DIV/0!</v>
      </c>
      <c r="F73" s="97" t="e">
        <v>#DIV/0!</v>
      </c>
      <c r="G73" s="97" t="e">
        <v>#DIV/0!</v>
      </c>
      <c r="H73" s="98">
        <v>0</v>
      </c>
      <c r="I73" s="98">
        <v>0</v>
      </c>
      <c r="J73" s="98">
        <v>0</v>
      </c>
      <c r="K73" s="99">
        <v>6</v>
      </c>
      <c r="L73" s="25">
        <v>2</v>
      </c>
      <c r="M73" s="99">
        <v>1</v>
      </c>
      <c r="N73" s="95"/>
      <c r="O73">
        <f t="shared" si="1"/>
        <v>20</v>
      </c>
    </row>
    <row r="74" spans="1:15">
      <c r="A74" s="90">
        <v>72</v>
      </c>
      <c r="B74" s="90" t="s">
        <v>109</v>
      </c>
      <c r="C74" s="91" t="s">
        <v>110</v>
      </c>
      <c r="D74" s="91" t="s">
        <v>122</v>
      </c>
      <c r="E74" s="92">
        <v>1.1530612244898</v>
      </c>
      <c r="F74" s="92">
        <v>1.35294117647059</v>
      </c>
      <c r="G74" s="92">
        <v>0</v>
      </c>
      <c r="H74" s="93">
        <v>8.16666666666667</v>
      </c>
      <c r="I74" s="93">
        <v>2.83333333333333</v>
      </c>
      <c r="J74" s="93">
        <v>0.0833333333333333</v>
      </c>
      <c r="K74" s="94">
        <v>4</v>
      </c>
      <c r="L74" s="23" t="s">
        <v>141</v>
      </c>
      <c r="M74" s="94">
        <v>0</v>
      </c>
      <c r="N74" s="90"/>
      <c r="O74">
        <f t="shared" si="1"/>
        <v>30</v>
      </c>
    </row>
    <row r="75" spans="1:15">
      <c r="A75" s="95">
        <v>73</v>
      </c>
      <c r="B75" s="95" t="s">
        <v>109</v>
      </c>
      <c r="C75" s="96" t="s">
        <v>110</v>
      </c>
      <c r="D75" s="96" t="s">
        <v>123</v>
      </c>
      <c r="E75" s="97">
        <v>0.948529411764706</v>
      </c>
      <c r="F75" s="97">
        <v>0.88135593220339</v>
      </c>
      <c r="G75" s="97">
        <v>1</v>
      </c>
      <c r="H75" s="98">
        <v>11.3333333333333</v>
      </c>
      <c r="I75" s="98">
        <v>4.91666666666667</v>
      </c>
      <c r="J75" s="98">
        <v>0.666666666666667</v>
      </c>
      <c r="K75" s="99">
        <v>4</v>
      </c>
      <c r="L75" s="25">
        <v>5</v>
      </c>
      <c r="M75" s="99">
        <v>0</v>
      </c>
      <c r="N75" s="95"/>
      <c r="O75">
        <f t="shared" si="1"/>
        <v>50</v>
      </c>
    </row>
    <row r="76" spans="1:15">
      <c r="A76" s="90">
        <v>74</v>
      </c>
      <c r="B76" s="90" t="s">
        <v>109</v>
      </c>
      <c r="C76" s="91" t="s">
        <v>110</v>
      </c>
      <c r="D76" s="91" t="s">
        <v>124</v>
      </c>
      <c r="E76" s="92">
        <v>0.888888888888889</v>
      </c>
      <c r="F76" s="92">
        <v>0.875</v>
      </c>
      <c r="G76" s="92" t="e">
        <v>#DIV/0!</v>
      </c>
      <c r="H76" s="93">
        <v>15</v>
      </c>
      <c r="I76" s="93">
        <v>2.66666666666667</v>
      </c>
      <c r="J76" s="93">
        <v>0</v>
      </c>
      <c r="K76" s="94">
        <v>6</v>
      </c>
      <c r="L76" s="23">
        <v>2</v>
      </c>
      <c r="M76" s="94">
        <v>1</v>
      </c>
      <c r="N76" s="90"/>
      <c r="O76">
        <f t="shared" si="1"/>
        <v>20</v>
      </c>
    </row>
    <row r="77" spans="1:15">
      <c r="A77" s="95">
        <v>75</v>
      </c>
      <c r="B77" s="95" t="s">
        <v>109</v>
      </c>
      <c r="C77" s="96" t="s">
        <v>110</v>
      </c>
      <c r="D77" s="96" t="s">
        <v>125</v>
      </c>
      <c r="E77" s="97">
        <v>1.02654867256637</v>
      </c>
      <c r="F77" s="97">
        <v>0.88135593220339</v>
      </c>
      <c r="G77" s="97">
        <v>1</v>
      </c>
      <c r="H77" s="98">
        <v>9.41666666666667</v>
      </c>
      <c r="I77" s="98">
        <v>9.83333333333333</v>
      </c>
      <c r="J77" s="98">
        <v>0.0833333333333333</v>
      </c>
      <c r="K77" s="99">
        <v>4</v>
      </c>
      <c r="L77" s="25">
        <v>10</v>
      </c>
      <c r="M77" s="99">
        <v>0</v>
      </c>
      <c r="N77" s="95"/>
      <c r="O77">
        <f t="shared" si="1"/>
        <v>100</v>
      </c>
    </row>
    <row r="78" spans="1:15">
      <c r="A78" s="90">
        <v>76</v>
      </c>
      <c r="B78" s="90" t="s">
        <v>109</v>
      </c>
      <c r="C78" s="91" t="s">
        <v>110</v>
      </c>
      <c r="D78" s="91" t="s">
        <v>126</v>
      </c>
      <c r="E78" s="92">
        <v>1</v>
      </c>
      <c r="F78" s="92">
        <v>1</v>
      </c>
      <c r="G78" s="92" t="e">
        <v>#DIV/0!</v>
      </c>
      <c r="H78" s="93">
        <v>6</v>
      </c>
      <c r="I78" s="93">
        <v>3.25</v>
      </c>
      <c r="J78" s="93">
        <v>0</v>
      </c>
      <c r="K78" s="94">
        <v>6</v>
      </c>
      <c r="L78" s="23">
        <v>2</v>
      </c>
      <c r="M78" s="94">
        <v>1</v>
      </c>
      <c r="N78" s="90"/>
      <c r="O78">
        <f t="shared" si="1"/>
        <v>20</v>
      </c>
    </row>
    <row r="79" spans="1:15">
      <c r="A79" s="95">
        <v>77</v>
      </c>
      <c r="B79" s="95" t="s">
        <v>109</v>
      </c>
      <c r="C79" s="96" t="s">
        <v>110</v>
      </c>
      <c r="D79" s="96" t="s">
        <v>127</v>
      </c>
      <c r="E79" s="97">
        <v>0.97</v>
      </c>
      <c r="F79" s="97">
        <v>0.967741935483871</v>
      </c>
      <c r="G79" s="97" t="e">
        <v>#DIV/0!</v>
      </c>
      <c r="H79" s="98">
        <v>8.33333333333333</v>
      </c>
      <c r="I79" s="98">
        <v>7.75</v>
      </c>
      <c r="J79" s="98">
        <v>0</v>
      </c>
      <c r="K79" s="99">
        <v>4</v>
      </c>
      <c r="L79" s="25">
        <v>8</v>
      </c>
      <c r="M79" s="99">
        <v>1</v>
      </c>
      <c r="N79" s="95"/>
      <c r="O79">
        <f t="shared" si="1"/>
        <v>80</v>
      </c>
    </row>
    <row r="80" spans="1:15">
      <c r="A80" s="90">
        <v>78</v>
      </c>
      <c r="B80" s="90" t="s">
        <v>109</v>
      </c>
      <c r="C80" s="91" t="s">
        <v>110</v>
      </c>
      <c r="D80" s="91" t="s">
        <v>128</v>
      </c>
      <c r="E80" s="92">
        <v>1</v>
      </c>
      <c r="F80" s="92">
        <v>1</v>
      </c>
      <c r="G80" s="92" t="e">
        <v>#DIV/0!</v>
      </c>
      <c r="H80" s="93">
        <v>6.58333333333333</v>
      </c>
      <c r="I80" s="93">
        <v>1.91666666666667</v>
      </c>
      <c r="J80" s="93">
        <v>0</v>
      </c>
      <c r="K80" s="94">
        <v>4</v>
      </c>
      <c r="L80" s="23" t="s">
        <v>331</v>
      </c>
      <c r="M80" s="94">
        <v>0</v>
      </c>
      <c r="N80" s="90"/>
      <c r="O80">
        <f t="shared" si="1"/>
        <v>20</v>
      </c>
    </row>
    <row r="81" spans="1:15">
      <c r="A81" s="95">
        <v>79</v>
      </c>
      <c r="B81" s="95" t="s">
        <v>109</v>
      </c>
      <c r="C81" s="96" t="s">
        <v>110</v>
      </c>
      <c r="D81" s="96" t="s">
        <v>129</v>
      </c>
      <c r="E81" s="97" t="e">
        <v>#DIV/0!</v>
      </c>
      <c r="F81" s="97" t="e">
        <v>#DIV/0!</v>
      </c>
      <c r="G81" s="97" t="e">
        <v>#DIV/0!</v>
      </c>
      <c r="H81" s="98">
        <v>0</v>
      </c>
      <c r="I81" s="98">
        <v>0</v>
      </c>
      <c r="J81" s="98">
        <v>0</v>
      </c>
      <c r="K81" s="99">
        <v>6</v>
      </c>
      <c r="L81" s="25">
        <v>2</v>
      </c>
      <c r="M81" s="99">
        <v>1</v>
      </c>
      <c r="N81" s="95"/>
      <c r="O81">
        <f t="shared" si="1"/>
        <v>20</v>
      </c>
    </row>
    <row r="82" spans="1:15">
      <c r="A82" s="90">
        <v>80</v>
      </c>
      <c r="B82" s="90" t="s">
        <v>109</v>
      </c>
      <c r="C82" s="91" t="s">
        <v>110</v>
      </c>
      <c r="D82" s="91" t="s">
        <v>130</v>
      </c>
      <c r="E82" s="92">
        <v>1</v>
      </c>
      <c r="F82" s="92">
        <v>0.966666666666667</v>
      </c>
      <c r="G82" s="92" t="e">
        <v>#DIV/0!</v>
      </c>
      <c r="H82" s="93">
        <v>4.66666666666667</v>
      </c>
      <c r="I82" s="93">
        <v>2.5</v>
      </c>
      <c r="J82" s="93">
        <v>0</v>
      </c>
      <c r="K82" s="94">
        <v>4</v>
      </c>
      <c r="L82" s="23">
        <v>3</v>
      </c>
      <c r="M82" s="94">
        <v>0</v>
      </c>
      <c r="N82" s="90"/>
      <c r="O82">
        <f t="shared" si="1"/>
        <v>30</v>
      </c>
    </row>
    <row r="83" spans="1:15">
      <c r="A83" s="95">
        <v>81</v>
      </c>
      <c r="B83" s="95" t="s">
        <v>109</v>
      </c>
      <c r="C83" s="96" t="s">
        <v>110</v>
      </c>
      <c r="D83" s="96" t="s">
        <v>131</v>
      </c>
      <c r="E83" s="97">
        <v>0.989010989010989</v>
      </c>
      <c r="F83" s="97">
        <v>1</v>
      </c>
      <c r="G83" s="97" t="e">
        <v>#DIV/0!</v>
      </c>
      <c r="H83" s="98">
        <v>7.58333333333333</v>
      </c>
      <c r="I83" s="98">
        <v>4.25</v>
      </c>
      <c r="J83" s="98">
        <v>0</v>
      </c>
      <c r="K83" s="99">
        <v>10</v>
      </c>
      <c r="L83" s="25">
        <v>4</v>
      </c>
      <c r="M83" s="99">
        <v>0</v>
      </c>
      <c r="N83" s="95"/>
      <c r="O83">
        <f t="shared" si="1"/>
        <v>40</v>
      </c>
    </row>
    <row r="84" spans="1:15">
      <c r="A84" s="90">
        <v>82</v>
      </c>
      <c r="B84" s="90" t="s">
        <v>109</v>
      </c>
      <c r="C84" s="91" t="s">
        <v>110</v>
      </c>
      <c r="D84" s="91" t="s">
        <v>132</v>
      </c>
      <c r="E84" s="92" t="e">
        <v>#DIV/0!</v>
      </c>
      <c r="F84" s="92" t="e">
        <v>#DIV/0!</v>
      </c>
      <c r="G84" s="92" t="e">
        <v>#DIV/0!</v>
      </c>
      <c r="H84" s="93">
        <v>0</v>
      </c>
      <c r="I84" s="93">
        <v>0</v>
      </c>
      <c r="J84" s="93">
        <v>0</v>
      </c>
      <c r="K84" s="94">
        <v>4</v>
      </c>
      <c r="L84" s="23">
        <v>0</v>
      </c>
      <c r="M84" s="94">
        <v>0</v>
      </c>
      <c r="N84" s="90"/>
      <c r="O84">
        <f t="shared" si="1"/>
        <v>0</v>
      </c>
    </row>
    <row r="85" spans="1:15">
      <c r="A85" s="95">
        <v>83</v>
      </c>
      <c r="B85" s="95" t="s">
        <v>109</v>
      </c>
      <c r="C85" s="96" t="s">
        <v>110</v>
      </c>
      <c r="D85" s="96" t="s">
        <v>133</v>
      </c>
      <c r="E85" s="97" t="e">
        <v>#DIV/0!</v>
      </c>
      <c r="F85" s="97" t="e">
        <v>#DIV/0!</v>
      </c>
      <c r="G85" s="97" t="e">
        <v>#DIV/0!</v>
      </c>
      <c r="H85" s="98">
        <v>0</v>
      </c>
      <c r="I85" s="98">
        <v>0</v>
      </c>
      <c r="J85" s="98">
        <v>0</v>
      </c>
      <c r="K85" s="99">
        <v>6</v>
      </c>
      <c r="L85" s="25">
        <v>2</v>
      </c>
      <c r="M85" s="99">
        <v>1</v>
      </c>
      <c r="N85" s="95"/>
      <c r="O85">
        <f t="shared" si="1"/>
        <v>20</v>
      </c>
    </row>
    <row r="86" spans="1:15">
      <c r="A86" s="90">
        <v>84</v>
      </c>
      <c r="B86" s="90" t="s">
        <v>109</v>
      </c>
      <c r="C86" s="91" t="s">
        <v>110</v>
      </c>
      <c r="D86" s="91" t="s">
        <v>134</v>
      </c>
      <c r="E86" s="92">
        <v>0.888888888888889</v>
      </c>
      <c r="F86" s="92">
        <v>0.711111111111111</v>
      </c>
      <c r="G86" s="92" t="e">
        <v>#DIV/0!</v>
      </c>
      <c r="H86" s="93">
        <v>6</v>
      </c>
      <c r="I86" s="93">
        <v>3.75</v>
      </c>
      <c r="J86" s="93">
        <v>0</v>
      </c>
      <c r="K86" s="94">
        <v>4</v>
      </c>
      <c r="L86" s="23">
        <v>4</v>
      </c>
      <c r="M86" s="94">
        <v>1</v>
      </c>
      <c r="N86" s="90"/>
      <c r="O86">
        <f t="shared" si="1"/>
        <v>40</v>
      </c>
    </row>
    <row r="87" spans="1:15">
      <c r="A87" s="95">
        <v>85</v>
      </c>
      <c r="B87" s="95" t="s">
        <v>109</v>
      </c>
      <c r="C87" s="96" t="s">
        <v>110</v>
      </c>
      <c r="D87" s="96" t="s">
        <v>135</v>
      </c>
      <c r="E87" s="97">
        <v>1.02</v>
      </c>
      <c r="F87" s="97">
        <v>0.888888888888889</v>
      </c>
      <c r="G87" s="97" t="e">
        <v>#DIV/0!</v>
      </c>
      <c r="H87" s="98">
        <v>4.16666666666667</v>
      </c>
      <c r="I87" s="98">
        <v>1.5</v>
      </c>
      <c r="J87" s="98">
        <v>0</v>
      </c>
      <c r="K87" s="99">
        <v>4</v>
      </c>
      <c r="L87" s="25">
        <v>2</v>
      </c>
      <c r="M87" s="99">
        <v>1</v>
      </c>
      <c r="N87" s="95"/>
      <c r="O87">
        <f t="shared" si="1"/>
        <v>20</v>
      </c>
    </row>
    <row r="88" spans="1:15">
      <c r="A88" s="90">
        <v>86</v>
      </c>
      <c r="B88" s="90" t="s">
        <v>109</v>
      </c>
      <c r="C88" s="91" t="s">
        <v>110</v>
      </c>
      <c r="D88" s="91" t="s">
        <v>136</v>
      </c>
      <c r="E88" s="92">
        <v>0.94047619047619</v>
      </c>
      <c r="F88" s="92">
        <v>0.857142857142857</v>
      </c>
      <c r="G88" s="92" t="e">
        <v>#DIV/0!</v>
      </c>
      <c r="H88" s="93">
        <v>7</v>
      </c>
      <c r="I88" s="93">
        <v>7.58333333333333</v>
      </c>
      <c r="J88" s="93">
        <v>0</v>
      </c>
      <c r="K88" s="94">
        <v>4</v>
      </c>
      <c r="L88" s="23">
        <v>8</v>
      </c>
      <c r="M88" s="94">
        <v>1</v>
      </c>
      <c r="N88" s="90"/>
      <c r="O88">
        <f t="shared" si="1"/>
        <v>80</v>
      </c>
    </row>
    <row r="89" spans="1:15">
      <c r="A89" s="90"/>
      <c r="B89" s="90"/>
      <c r="C89" s="90"/>
      <c r="D89" s="91"/>
      <c r="E89" s="92"/>
      <c r="F89" s="92"/>
      <c r="G89" s="92"/>
      <c r="H89" s="93"/>
      <c r="I89" s="93"/>
      <c r="J89" s="93"/>
      <c r="K89" s="90"/>
      <c r="L89" s="90"/>
      <c r="M89" s="90"/>
      <c r="N89" s="90"/>
      <c r="O89">
        <f t="shared" si="1"/>
        <v>0</v>
      </c>
    </row>
    <row r="90" spans="1:15">
      <c r="A90" s="95">
        <v>88</v>
      </c>
      <c r="B90" s="95" t="s">
        <v>137</v>
      </c>
      <c r="C90" s="96" t="s">
        <v>138</v>
      </c>
      <c r="D90" s="96" t="s">
        <v>139</v>
      </c>
      <c r="E90" s="97">
        <v>1.1</v>
      </c>
      <c r="F90" s="97">
        <v>1.1219512195122</v>
      </c>
      <c r="G90" s="97" t="e">
        <v>#DIV/0!</v>
      </c>
      <c r="H90" s="98">
        <v>4.16666666666667</v>
      </c>
      <c r="I90" s="98">
        <v>3.41666666666667</v>
      </c>
      <c r="J90" s="98">
        <v>0</v>
      </c>
      <c r="K90" s="100" t="s">
        <v>140</v>
      </c>
      <c r="L90" s="100" t="s">
        <v>141</v>
      </c>
      <c r="M90" s="100" t="s">
        <v>142</v>
      </c>
      <c r="N90" s="95"/>
      <c r="O90">
        <f t="shared" si="1"/>
        <v>30</v>
      </c>
    </row>
    <row r="91" spans="1:15">
      <c r="A91" s="90">
        <v>89</v>
      </c>
      <c r="B91" s="90" t="s">
        <v>137</v>
      </c>
      <c r="C91" s="91" t="s">
        <v>138</v>
      </c>
      <c r="D91" s="91" t="s">
        <v>143</v>
      </c>
      <c r="E91" s="92">
        <v>0.716666666666667</v>
      </c>
      <c r="F91" s="92">
        <v>0.714285714285714</v>
      </c>
      <c r="G91" s="92" t="e">
        <v>#DIV/0!</v>
      </c>
      <c r="H91" s="93">
        <v>5</v>
      </c>
      <c r="I91" s="93">
        <v>2.91666666666667</v>
      </c>
      <c r="J91" s="93">
        <v>0</v>
      </c>
      <c r="K91" s="101" t="s">
        <v>140</v>
      </c>
      <c r="L91" s="101">
        <v>3</v>
      </c>
      <c r="M91" s="101">
        <v>1</v>
      </c>
      <c r="N91" s="90"/>
      <c r="O91">
        <f t="shared" si="1"/>
        <v>30</v>
      </c>
    </row>
    <row r="92" spans="1:15">
      <c r="A92" s="95">
        <v>90</v>
      </c>
      <c r="B92" s="95" t="s">
        <v>137</v>
      </c>
      <c r="C92" s="96" t="s">
        <v>138</v>
      </c>
      <c r="D92" s="96" t="s">
        <v>144</v>
      </c>
      <c r="E92" s="97">
        <v>1.04166666666667</v>
      </c>
      <c r="F92" s="97">
        <v>0.85</v>
      </c>
      <c r="G92" s="97" t="e">
        <v>#DIV/0!</v>
      </c>
      <c r="H92" s="98">
        <v>4</v>
      </c>
      <c r="I92" s="98">
        <v>6.66666666666667</v>
      </c>
      <c r="J92" s="98">
        <v>0</v>
      </c>
      <c r="K92" s="100" t="s">
        <v>145</v>
      </c>
      <c r="L92" s="100">
        <v>4</v>
      </c>
      <c r="M92" s="100" t="s">
        <v>142</v>
      </c>
      <c r="N92" s="95"/>
      <c r="O92">
        <f t="shared" si="1"/>
        <v>40</v>
      </c>
    </row>
    <row r="93" spans="1:15">
      <c r="A93" s="90">
        <v>91</v>
      </c>
      <c r="B93" s="90" t="s">
        <v>137</v>
      </c>
      <c r="C93" s="91" t="s">
        <v>138</v>
      </c>
      <c r="D93" s="91" t="s">
        <v>146</v>
      </c>
      <c r="E93" s="92">
        <v>1</v>
      </c>
      <c r="F93" s="92">
        <v>1</v>
      </c>
      <c r="G93" s="92" t="e">
        <v>#DIV/0!</v>
      </c>
      <c r="H93" s="93">
        <v>4.91666666666667</v>
      </c>
      <c r="I93" s="93">
        <v>2.08333333333333</v>
      </c>
      <c r="J93" s="93">
        <v>0</v>
      </c>
      <c r="K93" s="101" t="s">
        <v>140</v>
      </c>
      <c r="L93" s="101">
        <v>3</v>
      </c>
      <c r="M93" s="101">
        <v>0</v>
      </c>
      <c r="N93" s="90"/>
      <c r="O93">
        <f t="shared" si="1"/>
        <v>30</v>
      </c>
    </row>
    <row r="94" spans="1:15">
      <c r="A94" s="95">
        <v>92</v>
      </c>
      <c r="B94" s="95" t="s">
        <v>137</v>
      </c>
      <c r="C94" s="96" t="s">
        <v>138</v>
      </c>
      <c r="D94" s="96" t="s">
        <v>147</v>
      </c>
      <c r="E94" s="97">
        <v>0.96875</v>
      </c>
      <c r="F94" s="97">
        <v>1.05555555555556</v>
      </c>
      <c r="G94" s="97" t="e">
        <v>#DIV/0!</v>
      </c>
      <c r="H94" s="98">
        <v>5.33333333333333</v>
      </c>
      <c r="I94" s="98">
        <v>3</v>
      </c>
      <c r="J94" s="98">
        <v>0</v>
      </c>
      <c r="K94" s="100" t="s">
        <v>148</v>
      </c>
      <c r="L94" s="100">
        <v>2</v>
      </c>
      <c r="M94" s="100">
        <v>0</v>
      </c>
      <c r="N94" s="95"/>
      <c r="O94">
        <f t="shared" si="1"/>
        <v>20</v>
      </c>
    </row>
    <row r="95" spans="1:15">
      <c r="A95" s="90">
        <v>93</v>
      </c>
      <c r="B95" s="90" t="s">
        <v>137</v>
      </c>
      <c r="C95" s="91" t="s">
        <v>138</v>
      </c>
      <c r="D95" s="91" t="s">
        <v>149</v>
      </c>
      <c r="E95" s="92">
        <v>0.867924528301887</v>
      </c>
      <c r="F95" s="92">
        <v>0.890625</v>
      </c>
      <c r="G95" s="92" t="e">
        <v>#DIV/0!</v>
      </c>
      <c r="H95" s="93">
        <v>4.41666666666667</v>
      </c>
      <c r="I95" s="93">
        <v>5.33333333333333</v>
      </c>
      <c r="J95" s="93">
        <v>0</v>
      </c>
      <c r="K95" s="101" t="s">
        <v>148</v>
      </c>
      <c r="L95" s="101">
        <v>2</v>
      </c>
      <c r="M95" s="101">
        <v>0</v>
      </c>
      <c r="N95" s="90"/>
      <c r="O95">
        <f t="shared" si="1"/>
        <v>20</v>
      </c>
    </row>
    <row r="96" spans="1:15">
      <c r="A96" s="95">
        <v>94</v>
      </c>
      <c r="B96" s="95" t="s">
        <v>137</v>
      </c>
      <c r="C96" s="96" t="s">
        <v>138</v>
      </c>
      <c r="D96" s="96" t="s">
        <v>150</v>
      </c>
      <c r="E96" s="97">
        <v>0.933333333333333</v>
      </c>
      <c r="F96" s="97">
        <v>0.946428571428571</v>
      </c>
      <c r="G96" s="97">
        <v>0.25</v>
      </c>
      <c r="H96" s="98">
        <v>8.75</v>
      </c>
      <c r="I96" s="98">
        <v>4.66666666666667</v>
      </c>
      <c r="J96" s="98">
        <v>0.333333333333333</v>
      </c>
      <c r="K96" s="100" t="s">
        <v>140</v>
      </c>
      <c r="L96" s="100">
        <v>3</v>
      </c>
      <c r="M96" s="100">
        <v>0</v>
      </c>
      <c r="N96" s="95"/>
      <c r="O96">
        <f t="shared" si="1"/>
        <v>30</v>
      </c>
    </row>
    <row r="97" spans="1:15">
      <c r="A97" s="90">
        <v>95</v>
      </c>
      <c r="B97" s="90" t="s">
        <v>137</v>
      </c>
      <c r="C97" s="91" t="s">
        <v>138</v>
      </c>
      <c r="D97" s="91" t="s">
        <v>151</v>
      </c>
      <c r="E97" s="92">
        <v>0.985714285714286</v>
      </c>
      <c r="F97" s="92">
        <v>0.842105263157895</v>
      </c>
      <c r="G97" s="92">
        <v>1</v>
      </c>
      <c r="H97" s="93">
        <v>5.83333333333333</v>
      </c>
      <c r="I97" s="93">
        <v>3.16666666666667</v>
      </c>
      <c r="J97" s="93">
        <v>0.0833333333333333</v>
      </c>
      <c r="K97" s="101" t="s">
        <v>148</v>
      </c>
      <c r="L97" s="101">
        <v>2</v>
      </c>
      <c r="M97" s="101">
        <v>0</v>
      </c>
      <c r="N97" s="90"/>
      <c r="O97">
        <f t="shared" si="1"/>
        <v>20</v>
      </c>
    </row>
    <row r="98" spans="1:15">
      <c r="A98" s="95">
        <v>96</v>
      </c>
      <c r="B98" s="95" t="s">
        <v>137</v>
      </c>
      <c r="C98" s="96" t="s">
        <v>138</v>
      </c>
      <c r="D98" s="96" t="s">
        <v>152</v>
      </c>
      <c r="E98" s="97">
        <v>0.968253968253968</v>
      </c>
      <c r="F98" s="97">
        <v>0.955555555555556</v>
      </c>
      <c r="G98" s="97" t="e">
        <v>#DIV/0!</v>
      </c>
      <c r="H98" s="98">
        <v>5.25</v>
      </c>
      <c r="I98" s="98">
        <v>3.75</v>
      </c>
      <c r="J98" s="98">
        <v>0</v>
      </c>
      <c r="K98" s="100" t="s">
        <v>153</v>
      </c>
      <c r="L98" s="100">
        <v>4</v>
      </c>
      <c r="M98" s="100" t="s">
        <v>142</v>
      </c>
      <c r="N98" s="95"/>
      <c r="O98">
        <f t="shared" si="1"/>
        <v>40</v>
      </c>
    </row>
    <row r="99" spans="1:15">
      <c r="A99" s="90">
        <v>97</v>
      </c>
      <c r="B99" s="90" t="s">
        <v>137</v>
      </c>
      <c r="C99" s="91" t="s">
        <v>138</v>
      </c>
      <c r="D99" s="91" t="s">
        <v>154</v>
      </c>
      <c r="E99" s="92">
        <v>0.954022988505747</v>
      </c>
      <c r="F99" s="92">
        <v>0.807692307692308</v>
      </c>
      <c r="G99" s="92">
        <v>0</v>
      </c>
      <c r="H99" s="93">
        <v>7.25</v>
      </c>
      <c r="I99" s="93">
        <v>4.33333333333333</v>
      </c>
      <c r="J99" s="93">
        <v>0.666666666666667</v>
      </c>
      <c r="K99" s="101" t="s">
        <v>145</v>
      </c>
      <c r="L99" s="101">
        <v>4</v>
      </c>
      <c r="M99" s="101">
        <v>1</v>
      </c>
      <c r="N99" s="90"/>
      <c r="O99">
        <f t="shared" si="1"/>
        <v>40</v>
      </c>
    </row>
    <row r="100" spans="1:15">
      <c r="A100" s="95">
        <v>98</v>
      </c>
      <c r="B100" s="95" t="s">
        <v>137</v>
      </c>
      <c r="C100" s="96" t="s">
        <v>138</v>
      </c>
      <c r="D100" s="96" t="s">
        <v>155</v>
      </c>
      <c r="E100" s="97">
        <v>0.954545454545455</v>
      </c>
      <c r="F100" s="97">
        <v>0.870967741935484</v>
      </c>
      <c r="G100" s="97" t="e">
        <v>#DIV/0!</v>
      </c>
      <c r="H100" s="98">
        <v>3.66666666666667</v>
      </c>
      <c r="I100" s="98">
        <v>5.16666666666667</v>
      </c>
      <c r="J100" s="98">
        <v>0</v>
      </c>
      <c r="K100" s="100" t="s">
        <v>148</v>
      </c>
      <c r="L100" s="100">
        <v>2</v>
      </c>
      <c r="M100" s="100" t="s">
        <v>142</v>
      </c>
      <c r="N100" s="95"/>
      <c r="O100">
        <f t="shared" si="1"/>
        <v>20</v>
      </c>
    </row>
    <row r="101" spans="1:15">
      <c r="A101" s="90">
        <v>99</v>
      </c>
      <c r="B101" s="90" t="s">
        <v>137</v>
      </c>
      <c r="C101" s="91" t="s">
        <v>138</v>
      </c>
      <c r="D101" s="91" t="s">
        <v>156</v>
      </c>
      <c r="E101" s="92">
        <v>0.870967741935484</v>
      </c>
      <c r="F101" s="92">
        <v>0.903225806451613</v>
      </c>
      <c r="G101" s="92" t="e">
        <v>#DIV/0!</v>
      </c>
      <c r="H101" s="93">
        <v>5.16666666666667</v>
      </c>
      <c r="I101" s="93">
        <v>2.58333333333333</v>
      </c>
      <c r="J101" s="93">
        <v>0</v>
      </c>
      <c r="K101" s="101" t="s">
        <v>148</v>
      </c>
      <c r="L101" s="101">
        <v>2</v>
      </c>
      <c r="M101" s="101" t="s">
        <v>142</v>
      </c>
      <c r="N101" s="90"/>
      <c r="O101">
        <f t="shared" si="1"/>
        <v>20</v>
      </c>
    </row>
    <row r="102" spans="1:15">
      <c r="A102" s="95">
        <v>100</v>
      </c>
      <c r="B102" s="95" t="s">
        <v>137</v>
      </c>
      <c r="C102" s="96" t="s">
        <v>138</v>
      </c>
      <c r="D102" s="96" t="s">
        <v>157</v>
      </c>
      <c r="E102" s="97">
        <v>0.981132075471698</v>
      </c>
      <c r="F102" s="97">
        <v>0.888888888888889</v>
      </c>
      <c r="G102" s="97" t="e">
        <v>#DIV/0!</v>
      </c>
      <c r="H102" s="98">
        <v>4.41666666666667</v>
      </c>
      <c r="I102" s="98">
        <v>3</v>
      </c>
      <c r="J102" s="98">
        <v>0</v>
      </c>
      <c r="K102" s="100" t="s">
        <v>148</v>
      </c>
      <c r="L102" s="100">
        <v>2</v>
      </c>
      <c r="M102" s="100">
        <v>0</v>
      </c>
      <c r="N102" s="95"/>
      <c r="O102">
        <f t="shared" si="1"/>
        <v>20</v>
      </c>
    </row>
    <row r="103" spans="1:15">
      <c r="A103" s="90">
        <v>101</v>
      </c>
      <c r="B103" s="90" t="s">
        <v>137</v>
      </c>
      <c r="C103" s="91" t="s">
        <v>138</v>
      </c>
      <c r="D103" s="91" t="s">
        <v>158</v>
      </c>
      <c r="E103" s="92">
        <v>1.02352941176471</v>
      </c>
      <c r="F103" s="92">
        <v>1.19354838709677</v>
      </c>
      <c r="G103" s="92" t="e">
        <v>#DIV/0!</v>
      </c>
      <c r="H103" s="93">
        <v>7.08333333333333</v>
      </c>
      <c r="I103" s="93">
        <v>2.58333333333333</v>
      </c>
      <c r="J103" s="93">
        <v>0</v>
      </c>
      <c r="K103" s="101" t="s">
        <v>159</v>
      </c>
      <c r="L103" s="101">
        <v>5</v>
      </c>
      <c r="M103" s="101" t="s">
        <v>142</v>
      </c>
      <c r="N103" s="90"/>
      <c r="O103">
        <f t="shared" si="1"/>
        <v>50</v>
      </c>
    </row>
    <row r="104" spans="1:15">
      <c r="A104" s="95">
        <v>102</v>
      </c>
      <c r="B104" s="95" t="s">
        <v>137</v>
      </c>
      <c r="C104" s="96" t="s">
        <v>138</v>
      </c>
      <c r="D104" s="96" t="s">
        <v>160</v>
      </c>
      <c r="E104" s="97">
        <v>0.766666666666667</v>
      </c>
      <c r="F104" s="97">
        <v>0.8</v>
      </c>
      <c r="G104" s="97" t="e">
        <v>#DIV/0!</v>
      </c>
      <c r="H104" s="98">
        <v>5</v>
      </c>
      <c r="I104" s="98">
        <v>3.75</v>
      </c>
      <c r="J104" s="98">
        <v>0</v>
      </c>
      <c r="K104" s="100" t="s">
        <v>140</v>
      </c>
      <c r="L104" s="100">
        <v>2</v>
      </c>
      <c r="M104" s="100">
        <v>0</v>
      </c>
      <c r="N104" s="95"/>
      <c r="O104">
        <f t="shared" si="1"/>
        <v>20</v>
      </c>
    </row>
    <row r="105" spans="1:15">
      <c r="A105" s="90">
        <v>103</v>
      </c>
      <c r="B105" s="90" t="s">
        <v>137</v>
      </c>
      <c r="C105" s="91" t="s">
        <v>138</v>
      </c>
      <c r="D105" s="91" t="s">
        <v>161</v>
      </c>
      <c r="E105" s="92">
        <v>0.96875</v>
      </c>
      <c r="F105" s="92">
        <v>0.981481481481482</v>
      </c>
      <c r="G105" s="92">
        <v>0.833333333333333</v>
      </c>
      <c r="H105" s="93">
        <v>5.33333333333333</v>
      </c>
      <c r="I105" s="93">
        <v>4.5</v>
      </c>
      <c r="J105" s="93">
        <v>0.5</v>
      </c>
      <c r="K105" s="101" t="s">
        <v>153</v>
      </c>
      <c r="L105" s="101">
        <v>4</v>
      </c>
      <c r="M105" s="101">
        <v>1</v>
      </c>
      <c r="N105" s="90"/>
      <c r="O105">
        <f t="shared" si="1"/>
        <v>40</v>
      </c>
    </row>
    <row r="106" spans="1:15">
      <c r="A106" s="90">
        <v>104</v>
      </c>
      <c r="B106" s="90" t="s">
        <v>137</v>
      </c>
      <c r="C106" s="91" t="s">
        <v>138</v>
      </c>
      <c r="D106" s="99" t="s">
        <v>162</v>
      </c>
      <c r="E106" s="97"/>
      <c r="F106" s="97"/>
      <c r="G106" s="97"/>
      <c r="H106" s="98">
        <f>SUM(H90:H105)</f>
        <v>85.5833333333333</v>
      </c>
      <c r="I106" s="98">
        <f>SUM(I90:I105)</f>
        <v>60.9166666666667</v>
      </c>
      <c r="J106" s="98">
        <f>SUM(J90:J105)</f>
        <v>1.58333333333333</v>
      </c>
      <c r="K106" s="102">
        <f>K90+K91+K92+K93+K94+K95+K96+K97+K98+K99+K100+K101+K102+K103+K104+K105</f>
        <v>83</v>
      </c>
      <c r="L106" s="100">
        <f>SUM(L90:L105)</f>
        <v>44</v>
      </c>
      <c r="M106" s="100">
        <f>SUM(M90:M105)</f>
        <v>3</v>
      </c>
      <c r="N106" s="95"/>
    </row>
    <row r="107" spans="1:15">
      <c r="A107" s="95"/>
      <c r="B107" s="95"/>
      <c r="C107" s="95"/>
      <c r="D107" s="96"/>
      <c r="E107" s="97"/>
      <c r="F107" s="97"/>
      <c r="G107" s="97"/>
      <c r="H107" s="98"/>
      <c r="I107" s="98"/>
      <c r="J107" s="98"/>
      <c r="K107" s="95"/>
      <c r="L107" s="95"/>
      <c r="M107" s="95"/>
      <c r="N107" s="95"/>
      <c r="O107">
        <f t="shared" si="1"/>
        <v>0</v>
      </c>
    </row>
    <row r="108" spans="1:15">
      <c r="A108" s="90">
        <v>105</v>
      </c>
      <c r="B108" s="90" t="s">
        <v>22</v>
      </c>
      <c r="C108" s="91" t="s">
        <v>163</v>
      </c>
      <c r="D108" s="91" t="s">
        <v>164</v>
      </c>
      <c r="E108" s="92">
        <v>1</v>
      </c>
      <c r="F108" s="92">
        <v>1</v>
      </c>
      <c r="G108" s="92" t="e">
        <v>#DIV/0!</v>
      </c>
      <c r="H108" s="93">
        <v>1.83333333333333</v>
      </c>
      <c r="I108" s="93">
        <v>2.25</v>
      </c>
      <c r="J108" s="93">
        <v>0</v>
      </c>
      <c r="K108" s="94">
        <v>4</v>
      </c>
      <c r="L108" s="94">
        <v>2</v>
      </c>
      <c r="M108" s="94">
        <v>1</v>
      </c>
      <c r="N108" s="90"/>
      <c r="O108">
        <f t="shared" si="1"/>
        <v>20</v>
      </c>
    </row>
    <row r="109" spans="1:15">
      <c r="A109" s="95">
        <v>106</v>
      </c>
      <c r="B109" s="95" t="s">
        <v>22</v>
      </c>
      <c r="C109" s="96" t="s">
        <v>163</v>
      </c>
      <c r="D109" s="96" t="s">
        <v>166</v>
      </c>
      <c r="E109" s="97">
        <v>1.09803921568627</v>
      </c>
      <c r="F109" s="97">
        <v>1.09090909090909</v>
      </c>
      <c r="G109" s="97" t="e">
        <v>#DIV/0!</v>
      </c>
      <c r="H109" s="98">
        <v>8.5</v>
      </c>
      <c r="I109" s="98">
        <v>1.83333333333333</v>
      </c>
      <c r="J109" s="98">
        <v>0</v>
      </c>
      <c r="K109" s="99">
        <v>4</v>
      </c>
      <c r="L109" s="99">
        <v>2</v>
      </c>
      <c r="M109" s="99">
        <v>0</v>
      </c>
      <c r="N109" s="95"/>
      <c r="O109">
        <f t="shared" si="1"/>
        <v>20</v>
      </c>
    </row>
    <row r="110" spans="1:15">
      <c r="A110" s="90">
        <v>107</v>
      </c>
      <c r="B110" s="90" t="s">
        <v>22</v>
      </c>
      <c r="C110" s="91" t="s">
        <v>163</v>
      </c>
      <c r="D110" s="91" t="s">
        <v>167</v>
      </c>
      <c r="E110" s="92">
        <v>1</v>
      </c>
      <c r="F110" s="92">
        <v>1</v>
      </c>
      <c r="G110" s="92" t="e">
        <v>#DIV/0!</v>
      </c>
      <c r="H110" s="93">
        <v>6</v>
      </c>
      <c r="I110" s="93">
        <v>2</v>
      </c>
      <c r="J110" s="93">
        <v>0</v>
      </c>
      <c r="K110" s="94">
        <v>5</v>
      </c>
      <c r="L110" s="94">
        <v>2</v>
      </c>
      <c r="M110" s="94">
        <v>1</v>
      </c>
      <c r="N110" s="90"/>
      <c r="O110">
        <f t="shared" si="1"/>
        <v>20</v>
      </c>
    </row>
    <row r="111" spans="1:15">
      <c r="A111" s="95">
        <v>108</v>
      </c>
      <c r="B111" s="95" t="s">
        <v>22</v>
      </c>
      <c r="C111" s="96" t="s">
        <v>163</v>
      </c>
      <c r="D111" s="96" t="s">
        <v>168</v>
      </c>
      <c r="E111" s="97">
        <v>1</v>
      </c>
      <c r="F111" s="97">
        <v>1</v>
      </c>
      <c r="G111" s="97" t="e">
        <v>#DIV/0!</v>
      </c>
      <c r="H111" s="98">
        <v>5</v>
      </c>
      <c r="I111" s="98">
        <v>1.66666666666667</v>
      </c>
      <c r="J111" s="98">
        <v>0</v>
      </c>
      <c r="K111" s="99">
        <v>4</v>
      </c>
      <c r="L111" s="99">
        <v>2</v>
      </c>
      <c r="M111" s="99">
        <v>1</v>
      </c>
      <c r="N111" s="95"/>
      <c r="O111">
        <f t="shared" si="1"/>
        <v>20</v>
      </c>
    </row>
    <row r="112" spans="1:15">
      <c r="A112" s="90">
        <v>109</v>
      </c>
      <c r="B112" s="90" t="s">
        <v>22</v>
      </c>
      <c r="C112" s="91" t="s">
        <v>163</v>
      </c>
      <c r="D112" s="91" t="s">
        <v>169</v>
      </c>
      <c r="E112" s="92">
        <v>1</v>
      </c>
      <c r="F112" s="92">
        <v>1</v>
      </c>
      <c r="G112" s="92" t="e">
        <v>#DIV/0!</v>
      </c>
      <c r="H112" s="93">
        <v>5.5</v>
      </c>
      <c r="I112" s="93">
        <v>1.83333333333333</v>
      </c>
      <c r="J112" s="93">
        <v>0</v>
      </c>
      <c r="K112" s="94">
        <v>5</v>
      </c>
      <c r="L112" s="94">
        <v>2</v>
      </c>
      <c r="M112" s="94"/>
      <c r="N112" s="90"/>
      <c r="O112">
        <f t="shared" si="1"/>
        <v>20</v>
      </c>
    </row>
    <row r="113" spans="1:15">
      <c r="A113" s="95">
        <v>110</v>
      </c>
      <c r="B113" s="95" t="s">
        <v>22</v>
      </c>
      <c r="C113" s="96" t="s">
        <v>163</v>
      </c>
      <c r="D113" s="96" t="s">
        <v>171</v>
      </c>
      <c r="E113" s="97">
        <v>0.972972972972973</v>
      </c>
      <c r="F113" s="97">
        <v>1</v>
      </c>
      <c r="G113" s="97" t="e">
        <v>#DIV/0!</v>
      </c>
      <c r="H113" s="98">
        <v>3.08333333333333</v>
      </c>
      <c r="I113" s="98">
        <v>1.08333333333333</v>
      </c>
      <c r="J113" s="98">
        <v>0</v>
      </c>
      <c r="K113" s="99">
        <v>4</v>
      </c>
      <c r="L113" s="99">
        <v>2</v>
      </c>
      <c r="M113" s="99">
        <v>1</v>
      </c>
      <c r="N113" s="95"/>
      <c r="O113">
        <f t="shared" si="1"/>
        <v>20</v>
      </c>
    </row>
    <row r="114" spans="1:15">
      <c r="A114" s="90">
        <v>111</v>
      </c>
      <c r="B114" s="90" t="s">
        <v>22</v>
      </c>
      <c r="C114" s="91" t="s">
        <v>163</v>
      </c>
      <c r="D114" s="91" t="s">
        <v>172</v>
      </c>
      <c r="E114" s="92">
        <v>1</v>
      </c>
      <c r="F114" s="92">
        <v>1</v>
      </c>
      <c r="G114" s="92" t="e">
        <v>#DIV/0!</v>
      </c>
      <c r="H114" s="93">
        <v>6</v>
      </c>
      <c r="I114" s="93">
        <v>2</v>
      </c>
      <c r="J114" s="93">
        <v>0</v>
      </c>
      <c r="K114" s="94">
        <v>3</v>
      </c>
      <c r="L114" s="94">
        <v>1</v>
      </c>
      <c r="M114" s="94">
        <v>1</v>
      </c>
      <c r="N114" s="90"/>
      <c r="O114">
        <f t="shared" si="1"/>
        <v>10</v>
      </c>
    </row>
    <row r="115" spans="1:15">
      <c r="A115" s="95">
        <v>112</v>
      </c>
      <c r="B115" s="95" t="s">
        <v>22</v>
      </c>
      <c r="C115" s="96" t="s">
        <v>163</v>
      </c>
      <c r="D115" s="96" t="s">
        <v>173</v>
      </c>
      <c r="E115" s="97">
        <v>1</v>
      </c>
      <c r="F115" s="97">
        <v>1</v>
      </c>
      <c r="G115" s="97" t="e">
        <v>#DIV/0!</v>
      </c>
      <c r="H115" s="98">
        <v>5.5</v>
      </c>
      <c r="I115" s="98">
        <v>1.83333333333333</v>
      </c>
      <c r="J115" s="98">
        <v>0</v>
      </c>
      <c r="K115" s="99">
        <v>4</v>
      </c>
      <c r="L115" s="99">
        <v>2</v>
      </c>
      <c r="M115" s="99">
        <v>0</v>
      </c>
      <c r="N115" s="95"/>
      <c r="O115">
        <f t="shared" si="1"/>
        <v>20</v>
      </c>
    </row>
    <row r="116" spans="1:15">
      <c r="A116" s="90">
        <v>113</v>
      </c>
      <c r="B116" s="90" t="s">
        <v>22</v>
      </c>
      <c r="C116" s="91" t="s">
        <v>163</v>
      </c>
      <c r="D116" s="91" t="s">
        <v>174</v>
      </c>
      <c r="E116" s="92">
        <v>1</v>
      </c>
      <c r="F116" s="92">
        <v>1</v>
      </c>
      <c r="G116" s="92" t="e">
        <v>#DIV/0!</v>
      </c>
      <c r="H116" s="93">
        <v>5.66666666666667</v>
      </c>
      <c r="I116" s="93">
        <v>1.83333333333333</v>
      </c>
      <c r="J116" s="93">
        <v>0</v>
      </c>
      <c r="K116" s="94">
        <v>4</v>
      </c>
      <c r="L116" s="94">
        <v>2</v>
      </c>
      <c r="M116" s="94">
        <v>1</v>
      </c>
      <c r="N116" s="90"/>
      <c r="O116">
        <f t="shared" si="1"/>
        <v>20</v>
      </c>
    </row>
    <row r="117" spans="1:15">
      <c r="A117" s="95">
        <v>114</v>
      </c>
      <c r="B117" s="95" t="s">
        <v>22</v>
      </c>
      <c r="C117" s="96" t="s">
        <v>163</v>
      </c>
      <c r="D117" s="96" t="s">
        <v>175</v>
      </c>
      <c r="E117" s="97">
        <v>1</v>
      </c>
      <c r="F117" s="97">
        <v>1</v>
      </c>
      <c r="G117" s="97" t="e">
        <v>#DIV/0!</v>
      </c>
      <c r="H117" s="98">
        <v>6</v>
      </c>
      <c r="I117" s="98">
        <v>2</v>
      </c>
      <c r="J117" s="98">
        <v>0</v>
      </c>
      <c r="K117" s="99">
        <v>4</v>
      </c>
      <c r="L117" s="99">
        <v>2</v>
      </c>
      <c r="M117" s="99">
        <v>1</v>
      </c>
      <c r="N117" s="95"/>
      <c r="O117">
        <f t="shared" si="1"/>
        <v>20</v>
      </c>
    </row>
    <row r="118" spans="1:15">
      <c r="A118" s="90">
        <v>115</v>
      </c>
      <c r="B118" s="90" t="s">
        <v>22</v>
      </c>
      <c r="C118" s="91" t="s">
        <v>163</v>
      </c>
      <c r="D118" s="91" t="s">
        <v>176</v>
      </c>
      <c r="E118" s="92">
        <v>0.842857142857143</v>
      </c>
      <c r="F118" s="92">
        <v>0.916666666666667</v>
      </c>
      <c r="G118" s="92" t="e">
        <v>#DIV/0!</v>
      </c>
      <c r="H118" s="93">
        <v>5.83333333333333</v>
      </c>
      <c r="I118" s="93">
        <v>2</v>
      </c>
      <c r="J118" s="93">
        <v>0</v>
      </c>
      <c r="K118" s="94">
        <v>4</v>
      </c>
      <c r="L118" s="94">
        <v>2</v>
      </c>
      <c r="M118" s="94"/>
      <c r="N118" s="90"/>
      <c r="O118">
        <f t="shared" si="1"/>
        <v>20</v>
      </c>
    </row>
    <row r="119" spans="1:15">
      <c r="A119" s="95">
        <v>116</v>
      </c>
      <c r="B119" s="95" t="s">
        <v>22</v>
      </c>
      <c r="C119" s="96" t="s">
        <v>163</v>
      </c>
      <c r="D119" s="96" t="s">
        <v>177</v>
      </c>
      <c r="E119" s="97">
        <v>0.885714285714286</v>
      </c>
      <c r="F119" s="97">
        <v>0.785714285714286</v>
      </c>
      <c r="G119" s="97" t="e">
        <v>#DIV/0!</v>
      </c>
      <c r="H119" s="98">
        <v>2.91666666666667</v>
      </c>
      <c r="I119" s="98">
        <v>1.16666666666667</v>
      </c>
      <c r="J119" s="98">
        <v>0</v>
      </c>
      <c r="K119" s="99">
        <v>4</v>
      </c>
      <c r="L119" s="99">
        <v>2</v>
      </c>
      <c r="M119" s="99">
        <v>1</v>
      </c>
      <c r="N119" s="95"/>
      <c r="O119">
        <f t="shared" si="1"/>
        <v>20</v>
      </c>
    </row>
    <row r="120" spans="1:15">
      <c r="A120" s="90">
        <v>117</v>
      </c>
      <c r="B120" s="90" t="s">
        <v>22</v>
      </c>
      <c r="C120" s="91" t="s">
        <v>163</v>
      </c>
      <c r="D120" s="91" t="s">
        <v>178</v>
      </c>
      <c r="E120" s="92">
        <v>0.985714285714286</v>
      </c>
      <c r="F120" s="92">
        <v>0.923076923076923</v>
      </c>
      <c r="G120" s="92" t="e">
        <v>#DIV/0!</v>
      </c>
      <c r="H120" s="93">
        <v>5.83333333333333</v>
      </c>
      <c r="I120" s="93">
        <v>2.16666666666667</v>
      </c>
      <c r="J120" s="93">
        <v>0</v>
      </c>
      <c r="K120" s="94">
        <v>3</v>
      </c>
      <c r="L120" s="94">
        <v>2</v>
      </c>
      <c r="M120" s="94">
        <v>0</v>
      </c>
      <c r="N120" s="90"/>
      <c r="O120">
        <f t="shared" si="1"/>
        <v>20</v>
      </c>
    </row>
    <row r="121" spans="1:15">
      <c r="A121" s="95">
        <v>118</v>
      </c>
      <c r="B121" s="95" t="s">
        <v>22</v>
      </c>
      <c r="C121" s="96" t="s">
        <v>163</v>
      </c>
      <c r="D121" s="96" t="s">
        <v>179</v>
      </c>
      <c r="E121" s="97">
        <v>1</v>
      </c>
      <c r="F121" s="97">
        <v>1</v>
      </c>
      <c r="G121" s="97" t="e">
        <v>#DIV/0!</v>
      </c>
      <c r="H121" s="98">
        <v>5.5</v>
      </c>
      <c r="I121" s="98">
        <v>1.83333333333333</v>
      </c>
      <c r="J121" s="98">
        <v>0</v>
      </c>
      <c r="K121" s="99">
        <v>4</v>
      </c>
      <c r="L121" s="99">
        <v>3</v>
      </c>
      <c r="M121" s="99">
        <v>1</v>
      </c>
      <c r="N121" s="95"/>
      <c r="O121">
        <f t="shared" si="1"/>
        <v>30</v>
      </c>
    </row>
    <row r="122" spans="1:15">
      <c r="A122" s="90">
        <v>119</v>
      </c>
      <c r="B122" s="90" t="s">
        <v>22</v>
      </c>
      <c r="C122" s="91" t="s">
        <v>163</v>
      </c>
      <c r="D122" s="91" t="s">
        <v>180</v>
      </c>
      <c r="E122" s="92">
        <v>1</v>
      </c>
      <c r="F122" s="92">
        <v>1</v>
      </c>
      <c r="G122" s="92" t="e">
        <v>#DIV/0!</v>
      </c>
      <c r="H122" s="93">
        <v>4.75</v>
      </c>
      <c r="I122" s="93">
        <v>2.16666666666667</v>
      </c>
      <c r="J122" s="93">
        <v>0</v>
      </c>
      <c r="K122" s="94">
        <v>4</v>
      </c>
      <c r="L122" s="94">
        <v>2</v>
      </c>
      <c r="M122" s="94">
        <v>1</v>
      </c>
      <c r="N122" s="90"/>
      <c r="O122">
        <f t="shared" si="1"/>
        <v>20</v>
      </c>
    </row>
    <row r="123" spans="1:15">
      <c r="A123" s="95">
        <v>120</v>
      </c>
      <c r="B123" s="95" t="s">
        <v>22</v>
      </c>
      <c r="C123" s="96" t="s">
        <v>163</v>
      </c>
      <c r="D123" s="96" t="s">
        <v>181</v>
      </c>
      <c r="E123" s="97">
        <v>0.883333333333333</v>
      </c>
      <c r="F123" s="97">
        <v>0.95</v>
      </c>
      <c r="G123" s="97" t="e">
        <v>#DIV/0!</v>
      </c>
      <c r="H123" s="98">
        <v>5</v>
      </c>
      <c r="I123" s="98">
        <v>1.66666666666667</v>
      </c>
      <c r="J123" s="98">
        <v>0</v>
      </c>
      <c r="K123" s="99">
        <v>4</v>
      </c>
      <c r="L123" s="99">
        <v>2</v>
      </c>
      <c r="M123" s="99">
        <v>1</v>
      </c>
      <c r="N123" s="95"/>
      <c r="O123">
        <f t="shared" si="1"/>
        <v>20</v>
      </c>
    </row>
    <row r="124" spans="1:15">
      <c r="A124" s="90">
        <v>121</v>
      </c>
      <c r="B124" s="90" t="s">
        <v>22</v>
      </c>
      <c r="C124" s="91" t="s">
        <v>163</v>
      </c>
      <c r="D124" s="91" t="s">
        <v>182</v>
      </c>
      <c r="E124" s="92">
        <v>1</v>
      </c>
      <c r="F124" s="92">
        <v>1</v>
      </c>
      <c r="G124" s="92" t="e">
        <v>#DIV/0!</v>
      </c>
      <c r="H124" s="93">
        <v>3.83333333333333</v>
      </c>
      <c r="I124" s="93">
        <v>2.16666666666667</v>
      </c>
      <c r="J124" s="93">
        <v>0</v>
      </c>
      <c r="K124" s="94">
        <v>4</v>
      </c>
      <c r="L124" s="94">
        <v>2</v>
      </c>
      <c r="M124" s="94">
        <v>1</v>
      </c>
      <c r="N124" s="90"/>
      <c r="O124">
        <f t="shared" si="1"/>
        <v>20</v>
      </c>
    </row>
    <row r="125" spans="1:15">
      <c r="A125" s="95">
        <v>122</v>
      </c>
      <c r="B125" s="95" t="s">
        <v>22</v>
      </c>
      <c r="C125" s="96" t="s">
        <v>163</v>
      </c>
      <c r="D125" s="96" t="s">
        <v>183</v>
      </c>
      <c r="E125" s="97">
        <v>1</v>
      </c>
      <c r="F125" s="97">
        <v>1</v>
      </c>
      <c r="G125" s="97" t="e">
        <v>#DIV/0!</v>
      </c>
      <c r="H125" s="98">
        <v>6.08333333333333</v>
      </c>
      <c r="I125" s="98">
        <v>1.91666666666667</v>
      </c>
      <c r="J125" s="98">
        <v>0</v>
      </c>
      <c r="K125" s="99">
        <v>4</v>
      </c>
      <c r="L125" s="99">
        <v>2</v>
      </c>
      <c r="M125" s="99">
        <v>1</v>
      </c>
      <c r="N125" s="95"/>
      <c r="O125">
        <f t="shared" si="1"/>
        <v>20</v>
      </c>
    </row>
    <row r="126" spans="1:15">
      <c r="A126" s="90">
        <v>123</v>
      </c>
      <c r="B126" s="90" t="s">
        <v>22</v>
      </c>
      <c r="C126" s="91" t="s">
        <v>163</v>
      </c>
      <c r="D126" s="91" t="s">
        <v>184</v>
      </c>
      <c r="E126" s="92">
        <v>1</v>
      </c>
      <c r="F126" s="92">
        <v>1</v>
      </c>
      <c r="G126" s="92" t="e">
        <v>#DIV/0!</v>
      </c>
      <c r="H126" s="93">
        <v>3</v>
      </c>
      <c r="I126" s="93">
        <v>1</v>
      </c>
      <c r="J126" s="93">
        <v>0</v>
      </c>
      <c r="K126" s="94">
        <v>3</v>
      </c>
      <c r="L126" s="94">
        <v>1</v>
      </c>
      <c r="M126" s="94"/>
      <c r="N126" s="90"/>
      <c r="O126">
        <f t="shared" si="1"/>
        <v>10</v>
      </c>
    </row>
    <row r="127" spans="1:15">
      <c r="A127" s="95">
        <v>124</v>
      </c>
      <c r="B127" s="95" t="s">
        <v>22</v>
      </c>
      <c r="C127" s="96" t="s">
        <v>163</v>
      </c>
      <c r="D127" s="96" t="s">
        <v>185</v>
      </c>
      <c r="E127" s="97">
        <v>1</v>
      </c>
      <c r="F127" s="97">
        <v>1</v>
      </c>
      <c r="G127" s="97" t="e">
        <v>#DIV/0!</v>
      </c>
      <c r="H127" s="98">
        <v>8</v>
      </c>
      <c r="I127" s="98">
        <v>3.5</v>
      </c>
      <c r="J127" s="98">
        <v>0</v>
      </c>
      <c r="K127" s="99">
        <v>4</v>
      </c>
      <c r="L127" s="99">
        <v>2</v>
      </c>
      <c r="M127" s="99">
        <v>1</v>
      </c>
      <c r="N127" s="95"/>
      <c r="O127">
        <f t="shared" si="1"/>
        <v>20</v>
      </c>
    </row>
    <row r="128" spans="1:15">
      <c r="A128" s="90">
        <v>125</v>
      </c>
      <c r="B128" s="90" t="s">
        <v>22</v>
      </c>
      <c r="C128" s="91" t="s">
        <v>163</v>
      </c>
      <c r="D128" s="91" t="s">
        <v>186</v>
      </c>
      <c r="E128" s="92">
        <v>0.986111111111111</v>
      </c>
      <c r="F128" s="92">
        <v>1</v>
      </c>
      <c r="G128" s="92" t="e">
        <v>#DIV/0!</v>
      </c>
      <c r="H128" s="93">
        <v>6</v>
      </c>
      <c r="I128" s="93">
        <v>2</v>
      </c>
      <c r="J128" s="93">
        <v>0</v>
      </c>
      <c r="K128" s="94">
        <v>4</v>
      </c>
      <c r="L128" s="94">
        <v>2</v>
      </c>
      <c r="M128" s="94">
        <v>1</v>
      </c>
      <c r="N128" s="90"/>
      <c r="O128">
        <f t="shared" si="1"/>
        <v>20</v>
      </c>
    </row>
    <row r="129" spans="1:15">
      <c r="A129" s="95">
        <v>126</v>
      </c>
      <c r="B129" s="95" t="s">
        <v>22</v>
      </c>
      <c r="C129" s="96" t="s">
        <v>163</v>
      </c>
      <c r="D129" s="96" t="s">
        <v>187</v>
      </c>
      <c r="E129" s="97">
        <v>0.986111111111111</v>
      </c>
      <c r="F129" s="97">
        <v>0.958333333333333</v>
      </c>
      <c r="G129" s="97" t="e">
        <v>#DIV/0!</v>
      </c>
      <c r="H129" s="98">
        <v>6</v>
      </c>
      <c r="I129" s="98">
        <v>2</v>
      </c>
      <c r="J129" s="98">
        <v>0</v>
      </c>
      <c r="K129" s="99">
        <v>4</v>
      </c>
      <c r="L129" s="99">
        <v>2</v>
      </c>
      <c r="M129" s="99">
        <v>1</v>
      </c>
      <c r="N129" s="95"/>
      <c r="O129">
        <f t="shared" si="1"/>
        <v>20</v>
      </c>
    </row>
    <row r="130" spans="1:15">
      <c r="A130" s="90">
        <v>127</v>
      </c>
      <c r="B130" s="90" t="s">
        <v>22</v>
      </c>
      <c r="C130" s="91" t="s">
        <v>163</v>
      </c>
      <c r="D130" s="91" t="s">
        <v>188</v>
      </c>
      <c r="E130" s="92">
        <v>1.09090909090909</v>
      </c>
      <c r="F130" s="92">
        <v>1</v>
      </c>
      <c r="G130" s="92" t="e">
        <v>#DIV/0!</v>
      </c>
      <c r="H130" s="93">
        <v>5.5</v>
      </c>
      <c r="I130" s="93">
        <v>1.83333333333333</v>
      </c>
      <c r="J130" s="93">
        <v>0</v>
      </c>
      <c r="K130" s="94">
        <v>4</v>
      </c>
      <c r="L130" s="94">
        <v>2</v>
      </c>
      <c r="M130" s="94">
        <v>1</v>
      </c>
      <c r="N130" s="90"/>
      <c r="O130">
        <f t="shared" si="1"/>
        <v>20</v>
      </c>
    </row>
    <row r="131" spans="1:15">
      <c r="A131" s="95">
        <v>128</v>
      </c>
      <c r="B131" s="95" t="s">
        <v>22</v>
      </c>
      <c r="C131" s="96" t="s">
        <v>163</v>
      </c>
      <c r="D131" s="96" t="s">
        <v>189</v>
      </c>
      <c r="E131" s="97">
        <v>1.1</v>
      </c>
      <c r="F131" s="97">
        <v>1.1</v>
      </c>
      <c r="G131" s="97" t="e">
        <v>#DIV/0!</v>
      </c>
      <c r="H131" s="98">
        <v>5</v>
      </c>
      <c r="I131" s="98">
        <v>1.66666666666667</v>
      </c>
      <c r="J131" s="98">
        <v>0</v>
      </c>
      <c r="K131" s="99">
        <v>4</v>
      </c>
      <c r="L131" s="99">
        <v>3</v>
      </c>
      <c r="M131" s="99">
        <v>1</v>
      </c>
      <c r="N131" s="95"/>
      <c r="O131">
        <f t="shared" si="1"/>
        <v>30</v>
      </c>
    </row>
    <row r="132" spans="1:15">
      <c r="A132" s="90">
        <v>129</v>
      </c>
      <c r="B132" s="90" t="s">
        <v>22</v>
      </c>
      <c r="C132" s="91" t="s">
        <v>163</v>
      </c>
      <c r="D132" s="91" t="s">
        <v>190</v>
      </c>
      <c r="E132" s="92">
        <v>1</v>
      </c>
      <c r="F132" s="92">
        <v>1</v>
      </c>
      <c r="G132" s="92" t="e">
        <v>#DIV/0!</v>
      </c>
      <c r="H132" s="93">
        <v>5.5</v>
      </c>
      <c r="I132" s="93">
        <v>2</v>
      </c>
      <c r="J132" s="93">
        <v>0</v>
      </c>
      <c r="K132" s="94">
        <v>4</v>
      </c>
      <c r="L132" s="94">
        <v>2</v>
      </c>
      <c r="M132" s="94">
        <v>1</v>
      </c>
      <c r="N132" s="90"/>
      <c r="O132">
        <f t="shared" ref="O132:O195" si="2">L132*10</f>
        <v>20</v>
      </c>
    </row>
    <row r="133" spans="1:15">
      <c r="A133" s="95">
        <v>130</v>
      </c>
      <c r="B133" s="95" t="s">
        <v>22</v>
      </c>
      <c r="C133" s="96" t="s">
        <v>163</v>
      </c>
      <c r="D133" s="96" t="s">
        <v>191</v>
      </c>
      <c r="E133" s="97">
        <v>0.971428571428571</v>
      </c>
      <c r="F133" s="97">
        <v>0.842105263157895</v>
      </c>
      <c r="G133" s="97" t="e">
        <v>#DIV/0!</v>
      </c>
      <c r="H133" s="98">
        <v>2.91666666666667</v>
      </c>
      <c r="I133" s="98">
        <v>1.58333333333333</v>
      </c>
      <c r="J133" s="98">
        <v>0</v>
      </c>
      <c r="K133" s="99">
        <v>3</v>
      </c>
      <c r="L133" s="99">
        <v>1</v>
      </c>
      <c r="M133" s="99">
        <v>1</v>
      </c>
      <c r="N133" s="95"/>
      <c r="O133">
        <f t="shared" si="2"/>
        <v>10</v>
      </c>
    </row>
    <row r="134" spans="1:15">
      <c r="A134" s="90">
        <v>131</v>
      </c>
      <c r="B134" s="90" t="s">
        <v>22</v>
      </c>
      <c r="C134" s="91" t="s">
        <v>163</v>
      </c>
      <c r="D134" s="91" t="s">
        <v>192</v>
      </c>
      <c r="E134" s="92">
        <v>0.803030303030303</v>
      </c>
      <c r="F134" s="92">
        <v>0.958333333333333</v>
      </c>
      <c r="G134" s="92" t="e">
        <v>#DIV/0!</v>
      </c>
      <c r="H134" s="93">
        <v>5.5</v>
      </c>
      <c r="I134" s="93">
        <v>2</v>
      </c>
      <c r="J134" s="93">
        <v>0</v>
      </c>
      <c r="K134" s="94">
        <v>4</v>
      </c>
      <c r="L134" s="94">
        <v>2</v>
      </c>
      <c r="M134" s="94">
        <v>1</v>
      </c>
      <c r="N134" s="90"/>
      <c r="O134">
        <f t="shared" si="2"/>
        <v>20</v>
      </c>
    </row>
    <row r="135" spans="1:15">
      <c r="A135" s="95">
        <v>132</v>
      </c>
      <c r="B135" s="95" t="s">
        <v>22</v>
      </c>
      <c r="C135" s="96" t="s">
        <v>163</v>
      </c>
      <c r="D135" s="96" t="s">
        <v>193</v>
      </c>
      <c r="E135" s="97">
        <v>1</v>
      </c>
      <c r="F135" s="97">
        <v>1</v>
      </c>
      <c r="G135" s="97" t="e">
        <v>#DIV/0!</v>
      </c>
      <c r="H135" s="98">
        <v>7.16666666666667</v>
      </c>
      <c r="I135" s="98">
        <v>3.5</v>
      </c>
      <c r="J135" s="98">
        <v>0</v>
      </c>
      <c r="K135" s="99">
        <v>8</v>
      </c>
      <c r="L135" s="99">
        <v>3</v>
      </c>
      <c r="M135" s="99">
        <v>1</v>
      </c>
      <c r="N135" s="95"/>
      <c r="O135">
        <f t="shared" si="2"/>
        <v>30</v>
      </c>
    </row>
    <row r="136" spans="1:15">
      <c r="A136" s="95"/>
      <c r="B136" s="95"/>
      <c r="C136" s="95"/>
      <c r="D136" s="96"/>
      <c r="E136" s="97"/>
      <c r="F136" s="97"/>
      <c r="G136" s="97"/>
      <c r="H136" s="98"/>
      <c r="I136" s="98"/>
      <c r="J136" s="98"/>
      <c r="K136" s="95"/>
      <c r="L136" s="95"/>
      <c r="M136" s="95"/>
      <c r="N136" s="95"/>
      <c r="O136">
        <f t="shared" si="2"/>
        <v>0</v>
      </c>
    </row>
    <row r="137" spans="1:15">
      <c r="A137" s="90">
        <v>134</v>
      </c>
      <c r="B137" s="90" t="s">
        <v>137</v>
      </c>
      <c r="C137" s="91" t="s">
        <v>194</v>
      </c>
      <c r="D137" s="91" t="s">
        <v>195</v>
      </c>
      <c r="E137" s="92">
        <v>1</v>
      </c>
      <c r="F137" s="92">
        <v>1</v>
      </c>
      <c r="G137" s="92" t="e">
        <v>#DIV/0!</v>
      </c>
      <c r="H137" s="93">
        <v>4</v>
      </c>
      <c r="I137" s="93">
        <v>1</v>
      </c>
      <c r="J137" s="93">
        <v>0</v>
      </c>
      <c r="K137" s="103" t="s">
        <v>148</v>
      </c>
      <c r="L137" s="103">
        <v>2</v>
      </c>
      <c r="M137" s="103" t="s">
        <v>197</v>
      </c>
      <c r="N137" s="90"/>
      <c r="O137">
        <f t="shared" si="2"/>
        <v>20</v>
      </c>
    </row>
    <row r="138" spans="1:15">
      <c r="A138" s="95">
        <v>135</v>
      </c>
      <c r="B138" s="95" t="s">
        <v>137</v>
      </c>
      <c r="C138" s="96" t="s">
        <v>194</v>
      </c>
      <c r="D138" s="96" t="s">
        <v>199</v>
      </c>
      <c r="E138" s="97">
        <v>1</v>
      </c>
      <c r="F138" s="97">
        <v>1</v>
      </c>
      <c r="G138" s="97" t="e">
        <v>#DIV/0!</v>
      </c>
      <c r="H138" s="98">
        <v>10</v>
      </c>
      <c r="I138" s="98">
        <v>2.08333333333333</v>
      </c>
      <c r="J138" s="98">
        <v>0</v>
      </c>
      <c r="K138" s="104" t="s">
        <v>159</v>
      </c>
      <c r="L138" s="104" t="s">
        <v>148</v>
      </c>
      <c r="M138" s="104" t="s">
        <v>197</v>
      </c>
      <c r="N138" s="95"/>
      <c r="O138">
        <f t="shared" si="2"/>
        <v>40</v>
      </c>
    </row>
    <row r="139" spans="1:15">
      <c r="A139" s="90">
        <v>136</v>
      </c>
      <c r="B139" s="90" t="s">
        <v>137</v>
      </c>
      <c r="C139" s="91" t="s">
        <v>194</v>
      </c>
      <c r="D139" s="91" t="s">
        <v>201</v>
      </c>
      <c r="E139" s="92">
        <v>1</v>
      </c>
      <c r="F139" s="92">
        <v>1</v>
      </c>
      <c r="G139" s="92" t="e">
        <v>#DIV/0!</v>
      </c>
      <c r="H139" s="93">
        <v>3.16666666666667</v>
      </c>
      <c r="I139" s="93">
        <v>1.25</v>
      </c>
      <c r="J139" s="93">
        <v>0</v>
      </c>
      <c r="K139" s="103" t="s">
        <v>153</v>
      </c>
      <c r="L139" s="103">
        <v>2</v>
      </c>
      <c r="M139" s="103" t="s">
        <v>197</v>
      </c>
      <c r="N139" s="90"/>
      <c r="O139">
        <f t="shared" si="2"/>
        <v>20</v>
      </c>
    </row>
    <row r="140" spans="1:15">
      <c r="A140" s="95">
        <v>137</v>
      </c>
      <c r="B140" s="95" t="s">
        <v>137</v>
      </c>
      <c r="C140" s="96" t="s">
        <v>194</v>
      </c>
      <c r="D140" s="96" t="s">
        <v>203</v>
      </c>
      <c r="E140" s="97">
        <v>0.973684210526316</v>
      </c>
      <c r="F140" s="97">
        <v>0.96551724137931</v>
      </c>
      <c r="G140" s="97" t="e">
        <v>#DIV/0!</v>
      </c>
      <c r="H140" s="98">
        <v>3.16666666666667</v>
      </c>
      <c r="I140" s="98">
        <v>2.41666666666667</v>
      </c>
      <c r="J140" s="98">
        <v>0</v>
      </c>
      <c r="K140" s="104" t="s">
        <v>140</v>
      </c>
      <c r="L140" s="104">
        <v>2</v>
      </c>
      <c r="M140" s="104" t="s">
        <v>197</v>
      </c>
      <c r="N140" s="95"/>
      <c r="O140">
        <f t="shared" si="2"/>
        <v>20</v>
      </c>
    </row>
    <row r="141" spans="1:15">
      <c r="A141" s="90">
        <v>138</v>
      </c>
      <c r="B141" s="90" t="s">
        <v>137</v>
      </c>
      <c r="C141" s="91" t="s">
        <v>194</v>
      </c>
      <c r="D141" s="91" t="s">
        <v>205</v>
      </c>
      <c r="E141" s="92">
        <v>1</v>
      </c>
      <c r="F141" s="92" t="e">
        <v>#DIV/0!</v>
      </c>
      <c r="G141" s="92" t="e">
        <v>#DIV/0!</v>
      </c>
      <c r="H141" s="93">
        <v>4</v>
      </c>
      <c r="I141" s="93">
        <v>0</v>
      </c>
      <c r="J141" s="93">
        <v>0</v>
      </c>
      <c r="K141" s="103" t="s">
        <v>148</v>
      </c>
      <c r="L141" s="103">
        <v>2</v>
      </c>
      <c r="M141" s="103" t="s">
        <v>197</v>
      </c>
      <c r="N141" s="90"/>
      <c r="O141">
        <f t="shared" si="2"/>
        <v>20</v>
      </c>
    </row>
    <row r="142" spans="1:15">
      <c r="A142" s="95">
        <v>139</v>
      </c>
      <c r="B142" s="95" t="s">
        <v>137</v>
      </c>
      <c r="C142" s="96" t="s">
        <v>194</v>
      </c>
      <c r="D142" s="96" t="s">
        <v>207</v>
      </c>
      <c r="E142" s="97">
        <v>1</v>
      </c>
      <c r="F142" s="97">
        <v>1</v>
      </c>
      <c r="G142" s="97" t="e">
        <v>#DIV/0!</v>
      </c>
      <c r="H142" s="98">
        <v>3.33333333333333</v>
      </c>
      <c r="I142" s="98">
        <v>3</v>
      </c>
      <c r="J142" s="98">
        <v>0</v>
      </c>
      <c r="K142" s="104" t="s">
        <v>153</v>
      </c>
      <c r="L142" s="104">
        <v>2</v>
      </c>
      <c r="M142" s="104" t="s">
        <v>197</v>
      </c>
      <c r="N142" s="95"/>
      <c r="O142">
        <f t="shared" si="2"/>
        <v>20</v>
      </c>
    </row>
    <row r="143" spans="1:15">
      <c r="A143" s="90">
        <v>140</v>
      </c>
      <c r="B143" s="90" t="s">
        <v>137</v>
      </c>
      <c r="C143" s="91" t="s">
        <v>194</v>
      </c>
      <c r="D143" s="91" t="s">
        <v>209</v>
      </c>
      <c r="E143" s="92">
        <v>1</v>
      </c>
      <c r="F143" s="92">
        <v>1</v>
      </c>
      <c r="G143" s="92" t="e">
        <v>#DIV/0!</v>
      </c>
      <c r="H143" s="93">
        <v>5.5</v>
      </c>
      <c r="I143" s="93">
        <v>1.83333333333333</v>
      </c>
      <c r="J143" s="93">
        <v>0</v>
      </c>
      <c r="K143" s="103" t="s">
        <v>153</v>
      </c>
      <c r="L143" s="103">
        <v>2</v>
      </c>
      <c r="M143" s="103" t="s">
        <v>197</v>
      </c>
      <c r="N143" s="90"/>
      <c r="O143">
        <f t="shared" si="2"/>
        <v>20</v>
      </c>
    </row>
    <row r="144" spans="1:15">
      <c r="A144" s="95">
        <v>141</v>
      </c>
      <c r="B144" s="95" t="s">
        <v>137</v>
      </c>
      <c r="C144" s="96" t="s">
        <v>194</v>
      </c>
      <c r="D144" s="96" t="s">
        <v>211</v>
      </c>
      <c r="E144" s="97">
        <v>1</v>
      </c>
      <c r="F144" s="97">
        <v>1</v>
      </c>
      <c r="G144" s="97" t="e">
        <v>#DIV/0!</v>
      </c>
      <c r="H144" s="98">
        <v>4</v>
      </c>
      <c r="I144" s="98">
        <v>2</v>
      </c>
      <c r="J144" s="98">
        <v>0</v>
      </c>
      <c r="K144" s="104" t="s">
        <v>153</v>
      </c>
      <c r="L144" s="104">
        <v>2</v>
      </c>
      <c r="M144" s="104" t="s">
        <v>197</v>
      </c>
      <c r="N144" s="95"/>
      <c r="O144">
        <f t="shared" si="2"/>
        <v>20</v>
      </c>
    </row>
    <row r="145" spans="1:15">
      <c r="A145" s="90">
        <v>142</v>
      </c>
      <c r="B145" s="90" t="s">
        <v>137</v>
      </c>
      <c r="C145" s="91" t="s">
        <v>194</v>
      </c>
      <c r="D145" s="91" t="s">
        <v>213</v>
      </c>
      <c r="E145" s="92">
        <v>1.1044776119403</v>
      </c>
      <c r="F145" s="92">
        <v>1.09090909090909</v>
      </c>
      <c r="G145" s="92" t="e">
        <v>#DIV/0!</v>
      </c>
      <c r="H145" s="93">
        <v>5.58333333333333</v>
      </c>
      <c r="I145" s="93">
        <v>1.83333333333333</v>
      </c>
      <c r="J145" s="93">
        <v>0</v>
      </c>
      <c r="K145" s="103" t="s">
        <v>153</v>
      </c>
      <c r="L145" s="103">
        <v>2</v>
      </c>
      <c r="M145" s="103" t="s">
        <v>142</v>
      </c>
      <c r="N145" s="90"/>
      <c r="O145">
        <f t="shared" si="2"/>
        <v>20</v>
      </c>
    </row>
    <row r="146" spans="1:15">
      <c r="A146" s="95">
        <v>143</v>
      </c>
      <c r="B146" s="95" t="s">
        <v>137</v>
      </c>
      <c r="C146" s="96" t="s">
        <v>194</v>
      </c>
      <c r="D146" s="96" t="s">
        <v>215</v>
      </c>
      <c r="E146" s="97">
        <v>1</v>
      </c>
      <c r="F146" s="97">
        <v>1</v>
      </c>
      <c r="G146" s="97" t="e">
        <v>#DIV/0!</v>
      </c>
      <c r="H146" s="98">
        <v>6</v>
      </c>
      <c r="I146" s="98">
        <v>2</v>
      </c>
      <c r="J146" s="98">
        <v>0</v>
      </c>
      <c r="K146" s="104" t="s">
        <v>153</v>
      </c>
      <c r="L146" s="104">
        <v>2</v>
      </c>
      <c r="M146" s="104" t="s">
        <v>197</v>
      </c>
      <c r="N146" s="95"/>
      <c r="O146">
        <f t="shared" si="2"/>
        <v>20</v>
      </c>
    </row>
    <row r="147" spans="1:15">
      <c r="A147" s="90">
        <v>144</v>
      </c>
      <c r="B147" s="90" t="s">
        <v>137</v>
      </c>
      <c r="C147" s="91" t="s">
        <v>194</v>
      </c>
      <c r="D147" s="91" t="s">
        <v>217</v>
      </c>
      <c r="E147" s="92">
        <v>1</v>
      </c>
      <c r="F147" s="92">
        <v>1</v>
      </c>
      <c r="G147" s="92">
        <v>1</v>
      </c>
      <c r="H147" s="93">
        <v>4.5</v>
      </c>
      <c r="I147" s="93">
        <v>2</v>
      </c>
      <c r="J147" s="93">
        <v>0.0833333333333333</v>
      </c>
      <c r="K147" s="103" t="s">
        <v>148</v>
      </c>
      <c r="L147" s="103">
        <v>1</v>
      </c>
      <c r="M147" s="103" t="s">
        <v>197</v>
      </c>
      <c r="N147" s="90"/>
      <c r="O147">
        <f t="shared" si="2"/>
        <v>10</v>
      </c>
    </row>
    <row r="148" spans="1:15">
      <c r="A148" s="95">
        <v>145</v>
      </c>
      <c r="B148" s="95" t="s">
        <v>137</v>
      </c>
      <c r="C148" s="96" t="s">
        <v>194</v>
      </c>
      <c r="D148" s="96" t="s">
        <v>220</v>
      </c>
      <c r="E148" s="97">
        <v>0.966666666666667</v>
      </c>
      <c r="F148" s="97">
        <v>0.96</v>
      </c>
      <c r="G148" s="97" t="e">
        <v>#DIV/0!</v>
      </c>
      <c r="H148" s="98">
        <v>2.5</v>
      </c>
      <c r="I148" s="98">
        <v>2.08333333333333</v>
      </c>
      <c r="J148" s="98">
        <v>0</v>
      </c>
      <c r="K148" s="104" t="s">
        <v>141</v>
      </c>
      <c r="L148" s="104">
        <v>1</v>
      </c>
      <c r="M148" s="104" t="s">
        <v>197</v>
      </c>
      <c r="N148" s="95"/>
      <c r="O148">
        <f t="shared" si="2"/>
        <v>10</v>
      </c>
    </row>
    <row r="149" spans="1:15">
      <c r="A149" s="90">
        <v>146</v>
      </c>
      <c r="B149" s="90" t="s">
        <v>137</v>
      </c>
      <c r="C149" s="91" t="s">
        <v>194</v>
      </c>
      <c r="D149" s="91" t="s">
        <v>222</v>
      </c>
      <c r="E149" s="92">
        <v>1</v>
      </c>
      <c r="F149" s="92">
        <v>1</v>
      </c>
      <c r="G149" s="92" t="e">
        <v>#DIV/0!</v>
      </c>
      <c r="H149" s="93">
        <v>4</v>
      </c>
      <c r="I149" s="93">
        <v>2</v>
      </c>
      <c r="J149" s="93">
        <v>0</v>
      </c>
      <c r="K149" s="103" t="s">
        <v>148</v>
      </c>
      <c r="L149" s="103">
        <v>1</v>
      </c>
      <c r="M149" s="103">
        <v>0</v>
      </c>
      <c r="N149" s="90"/>
      <c r="O149">
        <f t="shared" si="2"/>
        <v>10</v>
      </c>
    </row>
    <row r="150" spans="1:15">
      <c r="A150" s="95">
        <v>147</v>
      </c>
      <c r="B150" s="95" t="s">
        <v>137</v>
      </c>
      <c r="C150" s="96" t="s">
        <v>194</v>
      </c>
      <c r="D150" s="96" t="s">
        <v>224</v>
      </c>
      <c r="E150" s="97">
        <v>1</v>
      </c>
      <c r="F150" s="97">
        <v>1</v>
      </c>
      <c r="G150" s="97" t="e">
        <v>#DIV/0!</v>
      </c>
      <c r="H150" s="98">
        <v>4</v>
      </c>
      <c r="I150" s="98">
        <v>1.75</v>
      </c>
      <c r="J150" s="98">
        <v>0</v>
      </c>
      <c r="K150" s="104" t="s">
        <v>148</v>
      </c>
      <c r="L150" s="104">
        <v>1</v>
      </c>
      <c r="M150" s="104" t="s">
        <v>142</v>
      </c>
      <c r="N150" s="95"/>
      <c r="O150">
        <f t="shared" si="2"/>
        <v>10</v>
      </c>
    </row>
    <row r="151" spans="1:15">
      <c r="A151" s="90">
        <v>148</v>
      </c>
      <c r="B151" s="90" t="s">
        <v>137</v>
      </c>
      <c r="C151" s="91" t="s">
        <v>194</v>
      </c>
      <c r="D151" s="91" t="s">
        <v>226</v>
      </c>
      <c r="E151" s="92">
        <v>1</v>
      </c>
      <c r="F151" s="92">
        <v>1</v>
      </c>
      <c r="G151" s="92" t="e">
        <v>#DIV/0!</v>
      </c>
      <c r="H151" s="93">
        <v>5.66666666666667</v>
      </c>
      <c r="I151" s="93">
        <v>2</v>
      </c>
      <c r="J151" s="93">
        <v>0</v>
      </c>
      <c r="K151" s="103" t="s">
        <v>153</v>
      </c>
      <c r="L151" s="103">
        <v>2</v>
      </c>
      <c r="M151" s="103" t="s">
        <v>197</v>
      </c>
      <c r="N151" s="90"/>
      <c r="O151">
        <f t="shared" si="2"/>
        <v>20</v>
      </c>
    </row>
    <row r="152" spans="1:15">
      <c r="A152" s="95">
        <v>149</v>
      </c>
      <c r="B152" s="95" t="s">
        <v>137</v>
      </c>
      <c r="C152" s="96" t="s">
        <v>194</v>
      </c>
      <c r="D152" s="96" t="s">
        <v>228</v>
      </c>
      <c r="E152" s="97">
        <v>1</v>
      </c>
      <c r="F152" s="97">
        <v>1</v>
      </c>
      <c r="G152" s="97" t="e">
        <v>#DIV/0!</v>
      </c>
      <c r="H152" s="98">
        <v>3</v>
      </c>
      <c r="I152" s="98">
        <v>2.66666666666667</v>
      </c>
      <c r="J152" s="98">
        <v>0</v>
      </c>
      <c r="K152" s="104" t="s">
        <v>141</v>
      </c>
      <c r="L152" s="104">
        <v>2</v>
      </c>
      <c r="M152" s="104" t="s">
        <v>197</v>
      </c>
      <c r="N152" s="95"/>
      <c r="O152">
        <f t="shared" si="2"/>
        <v>20</v>
      </c>
    </row>
    <row r="153" spans="1:15">
      <c r="A153" s="90">
        <v>150</v>
      </c>
      <c r="B153" s="90" t="s">
        <v>137</v>
      </c>
      <c r="C153" s="91" t="s">
        <v>194</v>
      </c>
      <c r="D153" s="91" t="s">
        <v>229</v>
      </c>
      <c r="E153" s="92">
        <v>1</v>
      </c>
      <c r="F153" s="92">
        <v>0.979166666666667</v>
      </c>
      <c r="G153" s="92" t="e">
        <v>#DIV/0!</v>
      </c>
      <c r="H153" s="93">
        <v>4</v>
      </c>
      <c r="I153" s="93">
        <v>4</v>
      </c>
      <c r="J153" s="93">
        <v>0</v>
      </c>
      <c r="K153" s="103" t="s">
        <v>141</v>
      </c>
      <c r="L153" s="103">
        <v>1</v>
      </c>
      <c r="M153" s="103" t="s">
        <v>197</v>
      </c>
      <c r="N153" s="90"/>
      <c r="O153">
        <f t="shared" si="2"/>
        <v>10</v>
      </c>
    </row>
    <row r="154" spans="1:15">
      <c r="A154" s="95">
        <v>151</v>
      </c>
      <c r="B154" s="95" t="s">
        <v>137</v>
      </c>
      <c r="C154" s="96" t="s">
        <v>194</v>
      </c>
      <c r="D154" s="96" t="s">
        <v>231</v>
      </c>
      <c r="E154" s="97">
        <v>1</v>
      </c>
      <c r="F154" s="97">
        <v>1</v>
      </c>
      <c r="G154" s="97" t="e">
        <v>#DIV/0!</v>
      </c>
      <c r="H154" s="98">
        <v>6</v>
      </c>
      <c r="I154" s="98">
        <v>2</v>
      </c>
      <c r="J154" s="98">
        <v>0</v>
      </c>
      <c r="K154" s="104">
        <v>6</v>
      </c>
      <c r="L154" s="104">
        <v>2</v>
      </c>
      <c r="M154" s="104">
        <v>0</v>
      </c>
      <c r="N154" s="95"/>
      <c r="O154">
        <f t="shared" si="2"/>
        <v>20</v>
      </c>
    </row>
    <row r="155" spans="1:15">
      <c r="A155" s="90">
        <v>152</v>
      </c>
      <c r="B155" s="90" t="s">
        <v>137</v>
      </c>
      <c r="C155" s="91" t="s">
        <v>194</v>
      </c>
      <c r="D155" s="91" t="s">
        <v>232</v>
      </c>
      <c r="E155" s="92">
        <v>1</v>
      </c>
      <c r="F155" s="92">
        <v>1</v>
      </c>
      <c r="G155" s="92" t="e">
        <v>#DIV/0!</v>
      </c>
      <c r="H155" s="93">
        <v>4</v>
      </c>
      <c r="I155" s="93">
        <v>2</v>
      </c>
      <c r="J155" s="93">
        <v>0</v>
      </c>
      <c r="K155" s="103">
        <v>3</v>
      </c>
      <c r="L155" s="103">
        <v>1</v>
      </c>
      <c r="M155" s="103">
        <v>0</v>
      </c>
      <c r="N155" s="90"/>
      <c r="O155">
        <f t="shared" si="2"/>
        <v>10</v>
      </c>
    </row>
    <row r="156" spans="1:15">
      <c r="A156" s="95">
        <v>153</v>
      </c>
      <c r="B156" s="95" t="s">
        <v>137</v>
      </c>
      <c r="C156" s="96" t="s">
        <v>194</v>
      </c>
      <c r="D156" s="96" t="s">
        <v>233</v>
      </c>
      <c r="E156" s="97">
        <v>1</v>
      </c>
      <c r="F156" s="97">
        <v>1</v>
      </c>
      <c r="G156" s="97" t="e">
        <v>#DIV/0!</v>
      </c>
      <c r="H156" s="98">
        <v>3.83333333333333</v>
      </c>
      <c r="I156" s="98">
        <v>2</v>
      </c>
      <c r="J156" s="98">
        <v>0</v>
      </c>
      <c r="K156" s="104">
        <v>3</v>
      </c>
      <c r="L156" s="104">
        <v>1</v>
      </c>
      <c r="M156" s="104">
        <v>0</v>
      </c>
      <c r="N156" s="95"/>
      <c r="O156">
        <f t="shared" si="2"/>
        <v>10</v>
      </c>
    </row>
    <row r="157" spans="1:15">
      <c r="A157" s="90">
        <v>154</v>
      </c>
      <c r="B157" s="90" t="s">
        <v>137</v>
      </c>
      <c r="C157" s="91" t="s">
        <v>194</v>
      </c>
      <c r="D157" s="91" t="s">
        <v>234</v>
      </c>
      <c r="E157" s="92">
        <v>0.954545454545455</v>
      </c>
      <c r="F157" s="92">
        <v>0.954545454545455</v>
      </c>
      <c r="G157" s="92" t="e">
        <v>#DIV/0!</v>
      </c>
      <c r="H157" s="93">
        <v>3.66666666666667</v>
      </c>
      <c r="I157" s="93">
        <v>1.83333333333333</v>
      </c>
      <c r="J157" s="93">
        <v>0</v>
      </c>
      <c r="K157" s="103">
        <v>6</v>
      </c>
      <c r="L157" s="103">
        <v>2</v>
      </c>
      <c r="M157" s="103">
        <v>0</v>
      </c>
      <c r="N157" s="90"/>
      <c r="O157">
        <f t="shared" si="2"/>
        <v>20</v>
      </c>
    </row>
    <row r="158" spans="1:15">
      <c r="A158" s="95">
        <v>155</v>
      </c>
      <c r="B158" s="95" t="s">
        <v>137</v>
      </c>
      <c r="C158" s="96" t="s">
        <v>194</v>
      </c>
      <c r="D158" s="96" t="s">
        <v>235</v>
      </c>
      <c r="E158" s="97">
        <v>1</v>
      </c>
      <c r="F158" s="97">
        <v>1</v>
      </c>
      <c r="G158" s="97" t="e">
        <v>#DIV/0!</v>
      </c>
      <c r="H158" s="98">
        <v>4</v>
      </c>
      <c r="I158" s="98">
        <v>1.83333333333333</v>
      </c>
      <c r="J158" s="98">
        <v>0</v>
      </c>
      <c r="K158" s="104">
        <v>3</v>
      </c>
      <c r="L158" s="104">
        <v>1</v>
      </c>
      <c r="M158" s="104">
        <v>0</v>
      </c>
      <c r="N158" s="95"/>
      <c r="O158">
        <f t="shared" si="2"/>
        <v>10</v>
      </c>
    </row>
    <row r="159" spans="1:15">
      <c r="A159" s="90">
        <v>156</v>
      </c>
      <c r="B159" s="90" t="s">
        <v>137</v>
      </c>
      <c r="C159" s="91" t="s">
        <v>194</v>
      </c>
      <c r="D159" s="91" t="s">
        <v>236</v>
      </c>
      <c r="E159" s="92">
        <v>1</v>
      </c>
      <c r="F159" s="92">
        <v>1</v>
      </c>
      <c r="G159" s="92" t="e">
        <v>#DIV/0!</v>
      </c>
      <c r="H159" s="93">
        <v>4.16666666666667</v>
      </c>
      <c r="I159" s="93">
        <v>2.5</v>
      </c>
      <c r="J159" s="93">
        <v>0</v>
      </c>
      <c r="K159" s="103">
        <v>6</v>
      </c>
      <c r="L159" s="103">
        <v>2</v>
      </c>
      <c r="M159" s="103">
        <v>0</v>
      </c>
      <c r="N159" s="90"/>
      <c r="O159">
        <f t="shared" si="2"/>
        <v>20</v>
      </c>
    </row>
    <row r="160" spans="1:15">
      <c r="A160" s="95">
        <v>157</v>
      </c>
      <c r="B160" s="95" t="s">
        <v>137</v>
      </c>
      <c r="C160" s="96" t="s">
        <v>194</v>
      </c>
      <c r="D160" s="96" t="s">
        <v>237</v>
      </c>
      <c r="E160" s="97">
        <v>1</v>
      </c>
      <c r="F160" s="97">
        <v>1</v>
      </c>
      <c r="G160" s="97" t="e">
        <v>#DIV/0!</v>
      </c>
      <c r="H160" s="98">
        <v>7.41666666666667</v>
      </c>
      <c r="I160" s="98">
        <v>4.83333333333333</v>
      </c>
      <c r="J160" s="98">
        <v>0</v>
      </c>
      <c r="K160" s="104">
        <v>8</v>
      </c>
      <c r="L160" s="104">
        <v>4</v>
      </c>
      <c r="M160" s="104">
        <v>0</v>
      </c>
      <c r="N160" s="95"/>
      <c r="O160">
        <f t="shared" si="2"/>
        <v>40</v>
      </c>
    </row>
    <row r="161" spans="1:15">
      <c r="A161" s="90">
        <v>158</v>
      </c>
      <c r="B161" s="90" t="s">
        <v>137</v>
      </c>
      <c r="C161" s="91" t="s">
        <v>194</v>
      </c>
      <c r="D161" s="91" t="s">
        <v>238</v>
      </c>
      <c r="E161" s="92">
        <v>1</v>
      </c>
      <c r="F161" s="92">
        <v>1</v>
      </c>
      <c r="G161" s="92" t="e">
        <v>#DIV/0!</v>
      </c>
      <c r="H161" s="93">
        <v>2.33333333333333</v>
      </c>
      <c r="I161" s="93">
        <v>1.91666666666667</v>
      </c>
      <c r="J161" s="93">
        <v>0</v>
      </c>
      <c r="K161" s="103">
        <v>3</v>
      </c>
      <c r="L161" s="103">
        <v>1</v>
      </c>
      <c r="M161" s="103">
        <v>0</v>
      </c>
      <c r="N161" s="90"/>
      <c r="O161">
        <f t="shared" si="2"/>
        <v>10</v>
      </c>
    </row>
    <row r="162" spans="1:15">
      <c r="A162" s="95">
        <v>159</v>
      </c>
      <c r="B162" s="95" t="s">
        <v>137</v>
      </c>
      <c r="C162" s="96" t="s">
        <v>194</v>
      </c>
      <c r="D162" s="96" t="s">
        <v>239</v>
      </c>
      <c r="E162" s="97">
        <v>1</v>
      </c>
      <c r="F162" s="97">
        <v>1</v>
      </c>
      <c r="G162" s="97" t="e">
        <v>#DIV/0!</v>
      </c>
      <c r="H162" s="98">
        <v>0.75</v>
      </c>
      <c r="I162" s="98">
        <v>0.75</v>
      </c>
      <c r="J162" s="98">
        <v>0</v>
      </c>
      <c r="K162" s="104">
        <v>3</v>
      </c>
      <c r="L162" s="104">
        <v>1</v>
      </c>
      <c r="M162" s="104">
        <v>0</v>
      </c>
      <c r="N162" s="95"/>
      <c r="O162">
        <f t="shared" si="2"/>
        <v>10</v>
      </c>
    </row>
    <row r="163" spans="1:15">
      <c r="A163" s="90">
        <v>160</v>
      </c>
      <c r="B163" s="90" t="s">
        <v>137</v>
      </c>
      <c r="C163" s="91" t="s">
        <v>194</v>
      </c>
      <c r="D163" s="91" t="s">
        <v>240</v>
      </c>
      <c r="E163" s="92">
        <v>1</v>
      </c>
      <c r="F163" s="92">
        <v>1</v>
      </c>
      <c r="G163" s="92" t="e">
        <v>#DIV/0!</v>
      </c>
      <c r="H163" s="93">
        <v>0.666666666666667</v>
      </c>
      <c r="I163" s="93">
        <v>0.333333333333333</v>
      </c>
      <c r="J163" s="93">
        <v>0</v>
      </c>
      <c r="K163" s="103">
        <v>4</v>
      </c>
      <c r="L163" s="103">
        <v>1</v>
      </c>
      <c r="M163" s="103">
        <v>0</v>
      </c>
      <c r="N163" s="90"/>
      <c r="O163">
        <f t="shared" si="2"/>
        <v>10</v>
      </c>
    </row>
    <row r="164" spans="1:15">
      <c r="A164" s="90"/>
      <c r="B164" s="90"/>
      <c r="C164" s="90"/>
      <c r="D164" s="91"/>
      <c r="E164" s="92"/>
      <c r="F164" s="92"/>
      <c r="G164" s="92"/>
      <c r="H164" s="93"/>
      <c r="I164" s="93"/>
      <c r="J164" s="93"/>
      <c r="K164" s="90"/>
      <c r="L164" s="90"/>
      <c r="M164" s="90"/>
      <c r="N164" s="90"/>
      <c r="O164">
        <f t="shared" si="2"/>
        <v>0</v>
      </c>
    </row>
    <row r="165" spans="1:15">
      <c r="A165" s="95">
        <v>162</v>
      </c>
      <c r="B165" s="95" t="s">
        <v>22</v>
      </c>
      <c r="C165" s="96" t="s">
        <v>241</v>
      </c>
      <c r="D165" s="96" t="s">
        <v>242</v>
      </c>
      <c r="E165" s="97">
        <v>0.944444444444444</v>
      </c>
      <c r="F165" s="97">
        <v>0.91304347826087</v>
      </c>
      <c r="G165" s="97" t="e">
        <v>#DIV/0!</v>
      </c>
      <c r="H165" s="98">
        <v>6</v>
      </c>
      <c r="I165" s="98">
        <v>5.75</v>
      </c>
      <c r="J165" s="98">
        <v>0</v>
      </c>
      <c r="K165" s="95"/>
      <c r="L165" s="98">
        <v>5.75</v>
      </c>
      <c r="M165" s="95"/>
      <c r="N165" s="95"/>
      <c r="O165" s="105">
        <f t="shared" si="2"/>
        <v>57.5</v>
      </c>
    </row>
    <row r="166" spans="1:15">
      <c r="A166" s="90">
        <v>163</v>
      </c>
      <c r="B166" s="90" t="s">
        <v>22</v>
      </c>
      <c r="C166" s="91" t="s">
        <v>241</v>
      </c>
      <c r="D166" s="91" t="s">
        <v>243</v>
      </c>
      <c r="E166" s="92">
        <v>0.916666666666667</v>
      </c>
      <c r="F166" s="92">
        <v>0.936170212765957</v>
      </c>
      <c r="G166" s="92" t="e">
        <v>#DIV/0!</v>
      </c>
      <c r="H166" s="93">
        <v>4</v>
      </c>
      <c r="I166" s="93">
        <v>3.91666666666667</v>
      </c>
      <c r="J166" s="93">
        <v>0</v>
      </c>
      <c r="K166" s="90"/>
      <c r="L166" s="93">
        <v>3.91666666666667</v>
      </c>
      <c r="M166" s="90"/>
      <c r="N166" s="90"/>
      <c r="O166" s="105">
        <f t="shared" si="2"/>
        <v>39.1666666666667</v>
      </c>
    </row>
    <row r="167" spans="1:15">
      <c r="A167" s="95">
        <v>164</v>
      </c>
      <c r="B167" s="95" t="s">
        <v>22</v>
      </c>
      <c r="C167" s="96" t="s">
        <v>241</v>
      </c>
      <c r="D167" s="96" t="s">
        <v>244</v>
      </c>
      <c r="E167" s="97">
        <v>1</v>
      </c>
      <c r="F167" s="97">
        <v>1</v>
      </c>
      <c r="G167" s="97" t="e">
        <v>#DIV/0!</v>
      </c>
      <c r="H167" s="98">
        <v>3.33333333333333</v>
      </c>
      <c r="I167" s="98">
        <v>3.16666666666667</v>
      </c>
      <c r="J167" s="98">
        <v>0</v>
      </c>
      <c r="K167" s="95"/>
      <c r="L167" s="98">
        <v>3.16666666666667</v>
      </c>
      <c r="M167" s="95"/>
      <c r="N167" s="95"/>
      <c r="O167" s="105">
        <f t="shared" si="2"/>
        <v>31.6666666666667</v>
      </c>
    </row>
    <row r="168" spans="1:15">
      <c r="A168" s="90">
        <v>165</v>
      </c>
      <c r="B168" s="90" t="s">
        <v>22</v>
      </c>
      <c r="C168" s="91" t="s">
        <v>241</v>
      </c>
      <c r="D168" s="91" t="s">
        <v>245</v>
      </c>
      <c r="E168" s="92">
        <v>1</v>
      </c>
      <c r="F168" s="92">
        <v>1</v>
      </c>
      <c r="G168" s="92" t="e">
        <v>#DIV/0!</v>
      </c>
      <c r="H168" s="93">
        <v>3.66666666666667</v>
      </c>
      <c r="I168" s="93">
        <v>3.5</v>
      </c>
      <c r="J168" s="93">
        <v>0</v>
      </c>
      <c r="K168" s="90"/>
      <c r="L168" s="93">
        <v>3.5</v>
      </c>
      <c r="M168" s="90"/>
      <c r="N168" s="90"/>
      <c r="O168" s="105">
        <f t="shared" si="2"/>
        <v>35</v>
      </c>
    </row>
    <row r="169" spans="1:15">
      <c r="A169" s="95">
        <v>166</v>
      </c>
      <c r="B169" s="95" t="s">
        <v>22</v>
      </c>
      <c r="C169" s="96" t="s">
        <v>241</v>
      </c>
      <c r="D169" s="96" t="s">
        <v>246</v>
      </c>
      <c r="E169" s="97">
        <v>0.972222222222222</v>
      </c>
      <c r="F169" s="97">
        <v>0.972222222222222</v>
      </c>
      <c r="G169" s="97" t="e">
        <v>#DIV/0!</v>
      </c>
      <c r="H169" s="98">
        <v>6</v>
      </c>
      <c r="I169" s="98">
        <v>6</v>
      </c>
      <c r="J169" s="98">
        <v>0</v>
      </c>
      <c r="K169" s="95"/>
      <c r="L169" s="98">
        <v>6</v>
      </c>
      <c r="M169" s="95"/>
      <c r="N169" s="95"/>
      <c r="O169" s="105">
        <f t="shared" si="2"/>
        <v>60</v>
      </c>
    </row>
    <row r="170" spans="1:15">
      <c r="A170" s="90">
        <v>167</v>
      </c>
      <c r="B170" s="90" t="s">
        <v>22</v>
      </c>
      <c r="C170" s="91" t="s">
        <v>241</v>
      </c>
      <c r="D170" s="91" t="s">
        <v>247</v>
      </c>
      <c r="E170" s="92">
        <v>0.984615384615385</v>
      </c>
      <c r="F170" s="92">
        <v>1</v>
      </c>
      <c r="G170" s="92" t="e">
        <v>#DIV/0!</v>
      </c>
      <c r="H170" s="93">
        <v>5.41666666666667</v>
      </c>
      <c r="I170" s="93">
        <v>5.33333333333333</v>
      </c>
      <c r="J170" s="93">
        <v>0</v>
      </c>
      <c r="K170" s="90"/>
      <c r="L170" s="93">
        <v>5.33333333333333</v>
      </c>
      <c r="M170" s="90"/>
      <c r="N170" s="90"/>
      <c r="O170" s="105">
        <f t="shared" si="2"/>
        <v>53.3333333333333</v>
      </c>
    </row>
    <row r="171" spans="1:15">
      <c r="A171" s="95">
        <v>168</v>
      </c>
      <c r="B171" s="95" t="s">
        <v>22</v>
      </c>
      <c r="C171" s="96" t="s">
        <v>241</v>
      </c>
      <c r="D171" s="96" t="s">
        <v>248</v>
      </c>
      <c r="E171" s="97" t="e">
        <v>#DIV/0!</v>
      </c>
      <c r="F171" s="97" t="e">
        <v>#DIV/0!</v>
      </c>
      <c r="G171" s="97" t="e">
        <v>#DIV/0!</v>
      </c>
      <c r="H171" s="98">
        <v>0</v>
      </c>
      <c r="I171" s="98">
        <v>0</v>
      </c>
      <c r="J171" s="98">
        <v>0</v>
      </c>
      <c r="K171" s="95"/>
      <c r="L171" s="98">
        <v>0</v>
      </c>
      <c r="M171" s="95"/>
      <c r="N171" s="95"/>
      <c r="O171" s="105">
        <f t="shared" si="2"/>
        <v>0</v>
      </c>
    </row>
    <row r="172" spans="1:15">
      <c r="A172" s="90">
        <v>169</v>
      </c>
      <c r="B172" s="90" t="s">
        <v>22</v>
      </c>
      <c r="C172" s="91" t="s">
        <v>241</v>
      </c>
      <c r="D172" s="91" t="s">
        <v>249</v>
      </c>
      <c r="E172" s="92">
        <v>0.952941176470588</v>
      </c>
      <c r="F172" s="92">
        <v>0.931506849315068</v>
      </c>
      <c r="G172" s="92" t="e">
        <v>#DIV/0!</v>
      </c>
      <c r="H172" s="93">
        <v>7.08333333333333</v>
      </c>
      <c r="I172" s="93">
        <v>6.08333333333333</v>
      </c>
      <c r="J172" s="93">
        <v>0</v>
      </c>
      <c r="K172" s="90"/>
      <c r="L172" s="93">
        <v>6.08333333333333</v>
      </c>
      <c r="M172" s="90"/>
      <c r="N172" s="90"/>
      <c r="O172" s="105">
        <f t="shared" si="2"/>
        <v>60.8333333333333</v>
      </c>
    </row>
    <row r="173" spans="1:15">
      <c r="A173" s="95">
        <v>170</v>
      </c>
      <c r="B173" s="95" t="s">
        <v>22</v>
      </c>
      <c r="C173" s="96" t="s">
        <v>241</v>
      </c>
      <c r="D173" s="96" t="s">
        <v>250</v>
      </c>
      <c r="E173" s="97">
        <v>1</v>
      </c>
      <c r="F173" s="97">
        <v>0.971428571428571</v>
      </c>
      <c r="G173" s="97" t="e">
        <v>#DIV/0!</v>
      </c>
      <c r="H173" s="98">
        <v>6</v>
      </c>
      <c r="I173" s="98">
        <v>5.83333333333333</v>
      </c>
      <c r="J173" s="98">
        <v>0</v>
      </c>
      <c r="K173" s="95"/>
      <c r="L173" s="98">
        <v>5.83333333333333</v>
      </c>
      <c r="M173" s="95"/>
      <c r="N173" s="95"/>
      <c r="O173" s="105">
        <f t="shared" si="2"/>
        <v>58.3333333333333</v>
      </c>
    </row>
    <row r="174" spans="1:15">
      <c r="A174" s="90">
        <v>171</v>
      </c>
      <c r="B174" s="90" t="s">
        <v>22</v>
      </c>
      <c r="C174" s="91" t="s">
        <v>241</v>
      </c>
      <c r="D174" s="91" t="s">
        <v>251</v>
      </c>
      <c r="E174" s="92" t="e">
        <v>#DIV/0!</v>
      </c>
      <c r="F174" s="92" t="e">
        <v>#DIV/0!</v>
      </c>
      <c r="G174" s="92" t="e">
        <v>#DIV/0!</v>
      </c>
      <c r="H174" s="93">
        <v>0</v>
      </c>
      <c r="I174" s="93">
        <v>0</v>
      </c>
      <c r="J174" s="93">
        <v>0</v>
      </c>
      <c r="K174" s="90"/>
      <c r="L174" s="93">
        <v>0</v>
      </c>
      <c r="M174" s="90"/>
      <c r="N174" s="90"/>
      <c r="O174" s="105">
        <f t="shared" si="2"/>
        <v>0</v>
      </c>
    </row>
    <row r="175" spans="1:15">
      <c r="A175" s="95">
        <v>172</v>
      </c>
      <c r="B175" s="95" t="s">
        <v>22</v>
      </c>
      <c r="C175" s="96" t="s">
        <v>241</v>
      </c>
      <c r="D175" s="96" t="s">
        <v>252</v>
      </c>
      <c r="E175" s="97">
        <v>1</v>
      </c>
      <c r="F175" s="97">
        <v>1</v>
      </c>
      <c r="G175" s="97" t="e">
        <v>#DIV/0!</v>
      </c>
      <c r="H175" s="98">
        <v>3.5</v>
      </c>
      <c r="I175" s="98">
        <v>3.5</v>
      </c>
      <c r="J175" s="98">
        <v>0</v>
      </c>
      <c r="K175" s="95"/>
      <c r="L175" s="98">
        <v>3.5</v>
      </c>
      <c r="M175" s="95"/>
      <c r="N175" s="95"/>
      <c r="O175" s="105">
        <f t="shared" si="2"/>
        <v>35</v>
      </c>
    </row>
    <row r="176" spans="1:15">
      <c r="A176" s="90">
        <v>173</v>
      </c>
      <c r="B176" s="90" t="s">
        <v>22</v>
      </c>
      <c r="C176" s="91" t="s">
        <v>241</v>
      </c>
      <c r="D176" s="91" t="s">
        <v>253</v>
      </c>
      <c r="E176" s="92">
        <v>0.98</v>
      </c>
      <c r="F176" s="92">
        <v>1</v>
      </c>
      <c r="G176" s="92" t="e">
        <v>#DIV/0!</v>
      </c>
      <c r="H176" s="93">
        <v>4.16666666666667</v>
      </c>
      <c r="I176" s="93">
        <v>3.83333333333333</v>
      </c>
      <c r="J176" s="93">
        <v>0</v>
      </c>
      <c r="K176" s="90"/>
      <c r="L176" s="93">
        <v>3.83333333333333</v>
      </c>
      <c r="M176" s="90"/>
      <c r="N176" s="90"/>
      <c r="O176" s="105">
        <f t="shared" si="2"/>
        <v>38.3333333333333</v>
      </c>
    </row>
    <row r="177" spans="1:15">
      <c r="A177" s="95">
        <v>174</v>
      </c>
      <c r="B177" s="95" t="s">
        <v>22</v>
      </c>
      <c r="C177" s="96" t="s">
        <v>241</v>
      </c>
      <c r="D177" s="96" t="s">
        <v>254</v>
      </c>
      <c r="E177" s="97">
        <v>1</v>
      </c>
      <c r="F177" s="97">
        <v>1</v>
      </c>
      <c r="G177" s="97" t="e">
        <v>#DIV/0!</v>
      </c>
      <c r="H177" s="98">
        <v>3.66666666666667</v>
      </c>
      <c r="I177" s="98">
        <v>3.33333333333333</v>
      </c>
      <c r="J177" s="98">
        <v>0</v>
      </c>
      <c r="K177" s="95"/>
      <c r="L177" s="98">
        <v>3.33333333333333</v>
      </c>
      <c r="M177" s="95"/>
      <c r="N177" s="95"/>
      <c r="O177" s="105">
        <f t="shared" si="2"/>
        <v>33.3333333333333</v>
      </c>
    </row>
    <row r="178" spans="1:15">
      <c r="A178" s="90">
        <v>175</v>
      </c>
      <c r="B178" s="90" t="s">
        <v>22</v>
      </c>
      <c r="C178" s="91" t="s">
        <v>241</v>
      </c>
      <c r="D178" s="91" t="s">
        <v>255</v>
      </c>
      <c r="E178" s="92">
        <v>0.985915492957746</v>
      </c>
      <c r="F178" s="92">
        <v>0.985714285714286</v>
      </c>
      <c r="G178" s="92" t="e">
        <v>#DIV/0!</v>
      </c>
      <c r="H178" s="93">
        <v>5.91666666666667</v>
      </c>
      <c r="I178" s="93">
        <v>5.83333333333333</v>
      </c>
      <c r="J178" s="93">
        <v>0</v>
      </c>
      <c r="K178" s="90"/>
      <c r="L178" s="93">
        <v>5.83333333333333</v>
      </c>
      <c r="M178" s="90"/>
      <c r="N178" s="90"/>
      <c r="O178" s="105">
        <f t="shared" si="2"/>
        <v>58.3333333333333</v>
      </c>
    </row>
    <row r="179" spans="1:15">
      <c r="A179" s="95">
        <v>176</v>
      </c>
      <c r="B179" s="95" t="s">
        <v>22</v>
      </c>
      <c r="C179" s="96" t="s">
        <v>241</v>
      </c>
      <c r="D179" s="96" t="s">
        <v>256</v>
      </c>
      <c r="E179" s="97">
        <v>0.915492957746479</v>
      </c>
      <c r="F179" s="97">
        <v>0.926470588235294</v>
      </c>
      <c r="G179" s="97" t="e">
        <v>#DIV/0!</v>
      </c>
      <c r="H179" s="98">
        <v>5.91666666666667</v>
      </c>
      <c r="I179" s="98">
        <v>5.66666666666667</v>
      </c>
      <c r="J179" s="98">
        <v>0</v>
      </c>
      <c r="K179" s="95"/>
      <c r="L179" s="98">
        <v>5.66666666666667</v>
      </c>
      <c r="M179" s="95"/>
      <c r="N179" s="95"/>
      <c r="O179" s="105">
        <f t="shared" si="2"/>
        <v>56.6666666666667</v>
      </c>
    </row>
    <row r="180" spans="1:15">
      <c r="A180" s="90">
        <v>177</v>
      </c>
      <c r="B180" s="90" t="s">
        <v>22</v>
      </c>
      <c r="C180" s="91" t="s">
        <v>241</v>
      </c>
      <c r="D180" s="91" t="s">
        <v>257</v>
      </c>
      <c r="E180" s="92">
        <v>0.96875</v>
      </c>
      <c r="F180" s="92">
        <v>0.952380952380952</v>
      </c>
      <c r="G180" s="92" t="e">
        <v>#DIV/0!</v>
      </c>
      <c r="H180" s="93">
        <v>5.33333333333333</v>
      </c>
      <c r="I180" s="93">
        <v>5.25</v>
      </c>
      <c r="J180" s="93">
        <v>0</v>
      </c>
      <c r="K180" s="90"/>
      <c r="L180" s="93">
        <v>5.25</v>
      </c>
      <c r="M180" s="90"/>
      <c r="N180" s="90"/>
      <c r="O180" s="105">
        <f t="shared" si="2"/>
        <v>52.5</v>
      </c>
    </row>
    <row r="181" spans="1:15">
      <c r="A181" s="95">
        <v>178</v>
      </c>
      <c r="B181" s="95" t="s">
        <v>22</v>
      </c>
      <c r="C181" s="96" t="s">
        <v>241</v>
      </c>
      <c r="D181" s="96" t="s">
        <v>258</v>
      </c>
      <c r="E181" s="97">
        <v>0.985915492957746</v>
      </c>
      <c r="F181" s="97">
        <v>1</v>
      </c>
      <c r="G181" s="97" t="e">
        <v>#DIV/0!</v>
      </c>
      <c r="H181" s="98">
        <v>5.91666666666667</v>
      </c>
      <c r="I181" s="98">
        <v>5.75</v>
      </c>
      <c r="J181" s="98">
        <v>0</v>
      </c>
      <c r="K181" s="95"/>
      <c r="L181" s="98">
        <v>5.75</v>
      </c>
      <c r="M181" s="95"/>
      <c r="N181" s="95"/>
      <c r="O181" s="105">
        <f t="shared" si="2"/>
        <v>57.5</v>
      </c>
    </row>
    <row r="182" spans="1:15">
      <c r="A182" s="90">
        <v>179</v>
      </c>
      <c r="B182" s="90" t="s">
        <v>22</v>
      </c>
      <c r="C182" s="91" t="s">
        <v>241</v>
      </c>
      <c r="D182" s="91" t="s">
        <v>259</v>
      </c>
      <c r="E182" s="92">
        <v>0.977272727272727</v>
      </c>
      <c r="F182" s="92">
        <v>0.977777777777778</v>
      </c>
      <c r="G182" s="92" t="e">
        <v>#DIV/0!</v>
      </c>
      <c r="H182" s="93">
        <v>3.66666666666667</v>
      </c>
      <c r="I182" s="93">
        <v>3.75</v>
      </c>
      <c r="J182" s="93">
        <v>0</v>
      </c>
      <c r="K182" s="90"/>
      <c r="L182" s="93">
        <v>3.75</v>
      </c>
      <c r="M182" s="90"/>
      <c r="N182" s="90"/>
      <c r="O182" s="105">
        <f t="shared" si="2"/>
        <v>37.5</v>
      </c>
    </row>
    <row r="183" spans="1:15">
      <c r="A183" s="95">
        <v>180</v>
      </c>
      <c r="B183" s="95" t="s">
        <v>22</v>
      </c>
      <c r="C183" s="96" t="s">
        <v>241</v>
      </c>
      <c r="D183" s="96" t="s">
        <v>260</v>
      </c>
      <c r="E183" s="97">
        <v>1</v>
      </c>
      <c r="F183" s="97">
        <v>1</v>
      </c>
      <c r="G183" s="97" t="e">
        <v>#DIV/0!</v>
      </c>
      <c r="H183" s="98">
        <v>5.83333333333333</v>
      </c>
      <c r="I183" s="98">
        <v>5.66666666666667</v>
      </c>
      <c r="J183" s="98">
        <v>0</v>
      </c>
      <c r="K183" s="95"/>
      <c r="L183" s="98">
        <v>5.66666666666667</v>
      </c>
      <c r="M183" s="95"/>
      <c r="N183" s="95"/>
      <c r="O183" s="105">
        <f t="shared" si="2"/>
        <v>56.6666666666667</v>
      </c>
    </row>
    <row r="184" spans="1:15">
      <c r="A184" s="95"/>
      <c r="B184" s="95"/>
      <c r="C184" s="95"/>
      <c r="D184" s="96"/>
      <c r="E184" s="97"/>
      <c r="F184" s="97"/>
      <c r="G184" s="97"/>
      <c r="H184" s="98"/>
      <c r="I184" s="98"/>
      <c r="J184" s="98"/>
      <c r="K184" s="95"/>
      <c r="L184" s="98"/>
      <c r="M184" s="95"/>
      <c r="N184" s="95"/>
      <c r="O184" s="105">
        <f t="shared" si="2"/>
        <v>0</v>
      </c>
    </row>
    <row r="185" spans="1:15">
      <c r="A185" s="90">
        <v>182</v>
      </c>
      <c r="B185" s="90" t="s">
        <v>22</v>
      </c>
      <c r="C185" s="91" t="s">
        <v>261</v>
      </c>
      <c r="D185" s="91" t="s">
        <v>262</v>
      </c>
      <c r="E185" s="92">
        <v>1.09375</v>
      </c>
      <c r="F185" s="92">
        <v>0.661290322580645</v>
      </c>
      <c r="G185" s="92" t="e">
        <v>#DIV/0!</v>
      </c>
      <c r="H185" s="93">
        <v>2.66666666666667</v>
      </c>
      <c r="I185" s="93">
        <v>5.16666666666667</v>
      </c>
      <c r="J185" s="93">
        <v>0</v>
      </c>
      <c r="K185" s="90"/>
      <c r="L185" s="93">
        <v>5.16666666666667</v>
      </c>
      <c r="M185" s="90"/>
      <c r="N185" s="90"/>
      <c r="O185" s="105">
        <f t="shared" si="2"/>
        <v>51.6666666666667</v>
      </c>
    </row>
    <row r="186" spans="1:15">
      <c r="A186" s="95">
        <v>183</v>
      </c>
      <c r="B186" s="95" t="s">
        <v>22</v>
      </c>
      <c r="C186" s="96" t="s">
        <v>261</v>
      </c>
      <c r="D186" s="96" t="s">
        <v>263</v>
      </c>
      <c r="E186" s="97">
        <v>1</v>
      </c>
      <c r="F186" s="97">
        <v>1</v>
      </c>
      <c r="G186" s="97" t="e">
        <v>#DIV/0!</v>
      </c>
      <c r="H186" s="98">
        <v>5</v>
      </c>
      <c r="I186" s="98">
        <v>1.66666666666667</v>
      </c>
      <c r="J186" s="98">
        <v>0</v>
      </c>
      <c r="K186" s="95"/>
      <c r="L186" s="98">
        <v>1.66666666666667</v>
      </c>
      <c r="M186" s="95"/>
      <c r="N186" s="95"/>
      <c r="O186" s="105">
        <f t="shared" si="2"/>
        <v>16.6666666666667</v>
      </c>
    </row>
    <row r="187" spans="1:15">
      <c r="A187" s="90">
        <v>184</v>
      </c>
      <c r="B187" s="90" t="s">
        <v>22</v>
      </c>
      <c r="C187" s="91" t="s">
        <v>261</v>
      </c>
      <c r="D187" s="91" t="s">
        <v>264</v>
      </c>
      <c r="E187" s="92">
        <v>0.903225806451613</v>
      </c>
      <c r="F187" s="92">
        <v>0.961538461538462</v>
      </c>
      <c r="G187" s="92" t="e">
        <v>#DIV/0!</v>
      </c>
      <c r="H187" s="93">
        <v>5.16666666666667</v>
      </c>
      <c r="I187" s="93">
        <v>2.16666666666667</v>
      </c>
      <c r="J187" s="93">
        <v>0</v>
      </c>
      <c r="K187" s="90"/>
      <c r="L187" s="93">
        <v>2.16666666666667</v>
      </c>
      <c r="M187" s="90"/>
      <c r="N187" s="90"/>
      <c r="O187" s="105">
        <f t="shared" si="2"/>
        <v>21.6666666666667</v>
      </c>
    </row>
    <row r="188" spans="1:15">
      <c r="A188" s="95">
        <v>185</v>
      </c>
      <c r="B188" s="95" t="s">
        <v>22</v>
      </c>
      <c r="C188" s="96" t="s">
        <v>261</v>
      </c>
      <c r="D188" s="96" t="s">
        <v>265</v>
      </c>
      <c r="E188" s="97">
        <v>1.05882352941176</v>
      </c>
      <c r="F188" s="97">
        <v>1</v>
      </c>
      <c r="G188" s="97">
        <v>1</v>
      </c>
      <c r="H188" s="98">
        <v>4.25</v>
      </c>
      <c r="I188" s="98">
        <v>2.08333333333333</v>
      </c>
      <c r="J188" s="98">
        <v>0.0833333333333333</v>
      </c>
      <c r="K188" s="95"/>
      <c r="L188" s="98">
        <v>2.08333333333333</v>
      </c>
      <c r="M188" s="95"/>
      <c r="N188" s="95"/>
      <c r="O188" s="105">
        <f t="shared" si="2"/>
        <v>20.8333333333333</v>
      </c>
    </row>
    <row r="189" spans="1:15">
      <c r="A189" s="90">
        <v>186</v>
      </c>
      <c r="B189" s="90" t="s">
        <v>22</v>
      </c>
      <c r="C189" s="91" t="s">
        <v>261</v>
      </c>
      <c r="D189" s="91" t="s">
        <v>266</v>
      </c>
      <c r="E189" s="92">
        <v>0.771929824561403</v>
      </c>
      <c r="F189" s="92">
        <v>0.931034482758621</v>
      </c>
      <c r="G189" s="92" t="e">
        <v>#DIV/0!</v>
      </c>
      <c r="H189" s="93">
        <v>4.75</v>
      </c>
      <c r="I189" s="93">
        <v>2.41666666666667</v>
      </c>
      <c r="J189" s="93">
        <v>0</v>
      </c>
      <c r="K189" s="90"/>
      <c r="L189" s="93">
        <v>2.41666666666667</v>
      </c>
      <c r="M189" s="90"/>
      <c r="N189" s="90"/>
      <c r="O189" s="105">
        <f t="shared" si="2"/>
        <v>24.1666666666667</v>
      </c>
    </row>
    <row r="190" spans="1:15">
      <c r="A190" s="95">
        <v>187</v>
      </c>
      <c r="B190" s="95" t="s">
        <v>22</v>
      </c>
      <c r="C190" s="96" t="s">
        <v>261</v>
      </c>
      <c r="D190" s="96" t="s">
        <v>267</v>
      </c>
      <c r="E190" s="97">
        <v>1</v>
      </c>
      <c r="F190" s="97">
        <v>1</v>
      </c>
      <c r="G190" s="97" t="e">
        <v>#DIV/0!</v>
      </c>
      <c r="H190" s="98">
        <v>3.5</v>
      </c>
      <c r="I190" s="98">
        <v>3.66666666666667</v>
      </c>
      <c r="J190" s="98">
        <v>0</v>
      </c>
      <c r="K190" s="95"/>
      <c r="L190" s="98">
        <v>3.66666666666667</v>
      </c>
      <c r="M190" s="95"/>
      <c r="N190" s="95"/>
      <c r="O190" s="105">
        <f t="shared" si="2"/>
        <v>36.6666666666667</v>
      </c>
    </row>
    <row r="191" spans="1:15">
      <c r="A191" s="90">
        <v>188</v>
      </c>
      <c r="B191" s="90" t="s">
        <v>22</v>
      </c>
      <c r="C191" s="91" t="s">
        <v>261</v>
      </c>
      <c r="D191" s="91" t="s">
        <v>268</v>
      </c>
      <c r="E191" s="92">
        <v>1</v>
      </c>
      <c r="F191" s="92">
        <v>0.966666666666667</v>
      </c>
      <c r="G191" s="92" t="e">
        <v>#DIV/0!</v>
      </c>
      <c r="H191" s="93">
        <v>3.16666666666667</v>
      </c>
      <c r="I191" s="93">
        <v>2.5</v>
      </c>
      <c r="J191" s="93">
        <v>0</v>
      </c>
      <c r="K191" s="90"/>
      <c r="L191" s="93">
        <v>2.5</v>
      </c>
      <c r="M191" s="90"/>
      <c r="N191" s="90"/>
      <c r="O191" s="105">
        <f t="shared" si="2"/>
        <v>25</v>
      </c>
    </row>
    <row r="192" spans="1:15">
      <c r="A192" s="95">
        <v>189</v>
      </c>
      <c r="B192" s="95" t="s">
        <v>22</v>
      </c>
      <c r="C192" s="96" t="s">
        <v>261</v>
      </c>
      <c r="D192" s="96" t="s">
        <v>269</v>
      </c>
      <c r="E192" s="97">
        <v>1</v>
      </c>
      <c r="F192" s="97">
        <v>1</v>
      </c>
      <c r="G192" s="97" t="e">
        <v>#DIV/0!</v>
      </c>
      <c r="H192" s="98">
        <v>5.58333333333333</v>
      </c>
      <c r="I192" s="98">
        <v>1.91666666666667</v>
      </c>
      <c r="J192" s="98">
        <v>0</v>
      </c>
      <c r="K192" s="95"/>
      <c r="L192" s="98">
        <v>1.91666666666667</v>
      </c>
      <c r="M192" s="95"/>
      <c r="N192" s="95"/>
      <c r="O192" s="105">
        <f t="shared" si="2"/>
        <v>19.1666666666667</v>
      </c>
    </row>
    <row r="193" spans="1:15">
      <c r="A193" s="90">
        <v>190</v>
      </c>
      <c r="B193" s="90" t="s">
        <v>22</v>
      </c>
      <c r="C193" s="91" t="s">
        <v>261</v>
      </c>
      <c r="D193" s="91" t="s">
        <v>270</v>
      </c>
      <c r="E193" s="92" t="e">
        <v>#DIV/0!</v>
      </c>
      <c r="F193" s="92" t="e">
        <v>#DIV/0!</v>
      </c>
      <c r="G193" s="92" t="e">
        <v>#DIV/0!</v>
      </c>
      <c r="H193" s="93">
        <v>0</v>
      </c>
      <c r="I193" s="93">
        <v>0</v>
      </c>
      <c r="J193" s="93">
        <v>0</v>
      </c>
      <c r="K193" s="90"/>
      <c r="L193" s="93">
        <v>0</v>
      </c>
      <c r="M193" s="90"/>
      <c r="N193" s="90"/>
      <c r="O193" s="105">
        <f t="shared" si="2"/>
        <v>0</v>
      </c>
    </row>
    <row r="194" spans="1:15">
      <c r="A194" s="95">
        <v>191</v>
      </c>
      <c r="B194" s="95" t="s">
        <v>22</v>
      </c>
      <c r="C194" s="96" t="s">
        <v>261</v>
      </c>
      <c r="D194" s="96" t="s">
        <v>271</v>
      </c>
      <c r="E194" s="97">
        <v>0.989130434782609</v>
      </c>
      <c r="F194" s="97">
        <v>0.958333333333333</v>
      </c>
      <c r="G194" s="97">
        <v>0</v>
      </c>
      <c r="H194" s="98">
        <v>7.66666666666667</v>
      </c>
      <c r="I194" s="98">
        <v>4</v>
      </c>
      <c r="J194" s="98">
        <v>0.0833333333333333</v>
      </c>
      <c r="K194" s="95"/>
      <c r="L194" s="98">
        <v>4</v>
      </c>
      <c r="M194" s="95"/>
      <c r="N194" s="95"/>
      <c r="O194" s="105">
        <f t="shared" si="2"/>
        <v>40</v>
      </c>
    </row>
    <row r="195" spans="1:15">
      <c r="A195" s="90">
        <v>192</v>
      </c>
      <c r="B195" s="90" t="s">
        <v>22</v>
      </c>
      <c r="C195" s="91" t="s">
        <v>261</v>
      </c>
      <c r="D195" s="91" t="s">
        <v>272</v>
      </c>
      <c r="E195" s="92">
        <v>1</v>
      </c>
      <c r="F195" s="92">
        <v>1</v>
      </c>
      <c r="G195" s="92" t="e">
        <v>#DIV/0!</v>
      </c>
      <c r="H195" s="93">
        <v>3.41666666666667</v>
      </c>
      <c r="I195" s="93">
        <v>3.75</v>
      </c>
      <c r="J195" s="93">
        <v>0</v>
      </c>
      <c r="K195" s="90"/>
      <c r="L195" s="93">
        <v>3.75</v>
      </c>
      <c r="M195" s="90"/>
      <c r="N195" s="90"/>
      <c r="O195" s="105">
        <f t="shared" si="2"/>
        <v>37.5</v>
      </c>
    </row>
    <row r="196" spans="1:15">
      <c r="A196" s="95">
        <v>193</v>
      </c>
      <c r="B196" s="95" t="s">
        <v>22</v>
      </c>
      <c r="C196" s="96" t="s">
        <v>261</v>
      </c>
      <c r="D196" s="96" t="s">
        <v>273</v>
      </c>
      <c r="E196" s="97">
        <v>1</v>
      </c>
      <c r="F196" s="97">
        <v>0.789473684210526</v>
      </c>
      <c r="G196" s="97" t="e">
        <v>#DIV/0!</v>
      </c>
      <c r="H196" s="98">
        <v>2.16666666666667</v>
      </c>
      <c r="I196" s="98">
        <v>3.16666666666667</v>
      </c>
      <c r="J196" s="98">
        <v>0</v>
      </c>
      <c r="K196" s="95"/>
      <c r="L196" s="98">
        <v>3.16666666666667</v>
      </c>
      <c r="M196" s="95"/>
      <c r="N196" s="95"/>
      <c r="O196" s="105">
        <f t="shared" ref="O196:O259" si="3">L196*10</f>
        <v>31.6666666666667</v>
      </c>
    </row>
    <row r="197" spans="1:15">
      <c r="A197" s="90">
        <v>194</v>
      </c>
      <c r="B197" s="90" t="s">
        <v>22</v>
      </c>
      <c r="C197" s="91" t="s">
        <v>261</v>
      </c>
      <c r="D197" s="91" t="s">
        <v>274</v>
      </c>
      <c r="E197" s="92">
        <v>0.791666666666667</v>
      </c>
      <c r="F197" s="92">
        <v>0.761904761904762</v>
      </c>
      <c r="G197" s="92" t="e">
        <v>#DIV/0!</v>
      </c>
      <c r="H197" s="93">
        <v>4</v>
      </c>
      <c r="I197" s="93">
        <v>1.75</v>
      </c>
      <c r="J197" s="93">
        <v>0</v>
      </c>
      <c r="K197" s="90"/>
      <c r="L197" s="93">
        <v>1.75</v>
      </c>
      <c r="M197" s="90"/>
      <c r="N197" s="90"/>
      <c r="O197" s="105">
        <f t="shared" si="3"/>
        <v>17.5</v>
      </c>
    </row>
    <row r="198" spans="1:15">
      <c r="A198" s="95">
        <v>195</v>
      </c>
      <c r="B198" s="95" t="s">
        <v>22</v>
      </c>
      <c r="C198" s="96" t="s">
        <v>261</v>
      </c>
      <c r="D198" s="96" t="s">
        <v>275</v>
      </c>
      <c r="E198" s="97">
        <v>1.15384615384615</v>
      </c>
      <c r="F198" s="97">
        <v>1.05882352941176</v>
      </c>
      <c r="G198" s="97" t="e">
        <v>#DIV/0!</v>
      </c>
      <c r="H198" s="98">
        <v>2.16666666666667</v>
      </c>
      <c r="I198" s="98">
        <v>1.41666666666667</v>
      </c>
      <c r="J198" s="98">
        <v>0</v>
      </c>
      <c r="K198" s="95"/>
      <c r="L198" s="98">
        <v>1.41666666666667</v>
      </c>
      <c r="M198" s="95"/>
      <c r="N198" s="95"/>
      <c r="O198" s="105">
        <f t="shared" si="3"/>
        <v>14.1666666666667</v>
      </c>
    </row>
    <row r="199" spans="1:15">
      <c r="A199" s="90">
        <v>196</v>
      </c>
      <c r="B199" s="90" t="s">
        <v>22</v>
      </c>
      <c r="C199" s="91" t="s">
        <v>261</v>
      </c>
      <c r="D199" s="91" t="s">
        <v>276</v>
      </c>
      <c r="E199" s="92">
        <v>0.844444444444444</v>
      </c>
      <c r="F199" s="92">
        <v>0.76</v>
      </c>
      <c r="G199" s="92" t="e">
        <v>#DIV/0!</v>
      </c>
      <c r="H199" s="93">
        <v>7.5</v>
      </c>
      <c r="I199" s="93">
        <v>2.08333333333333</v>
      </c>
      <c r="J199" s="93">
        <v>0</v>
      </c>
      <c r="K199" s="90"/>
      <c r="L199" s="93">
        <v>2.08333333333333</v>
      </c>
      <c r="M199" s="90"/>
      <c r="N199" s="90"/>
      <c r="O199" s="105">
        <f t="shared" si="3"/>
        <v>20.8333333333333</v>
      </c>
    </row>
    <row r="200" spans="1:15">
      <c r="A200" s="95">
        <v>197</v>
      </c>
      <c r="B200" s="95" t="s">
        <v>22</v>
      </c>
      <c r="C200" s="96" t="s">
        <v>261</v>
      </c>
      <c r="D200" s="96" t="s">
        <v>277</v>
      </c>
      <c r="E200" s="97">
        <v>0.8</v>
      </c>
      <c r="F200" s="97">
        <v>0.909090909090909</v>
      </c>
      <c r="G200" s="97" t="e">
        <v>#DIV/0!</v>
      </c>
      <c r="H200" s="98">
        <v>5.83333333333333</v>
      </c>
      <c r="I200" s="98">
        <v>0.916666666666667</v>
      </c>
      <c r="J200" s="98">
        <v>0</v>
      </c>
      <c r="K200" s="95"/>
      <c r="L200" s="98">
        <v>0.916666666666667</v>
      </c>
      <c r="M200" s="95"/>
      <c r="N200" s="95"/>
      <c r="O200" s="105">
        <f t="shared" si="3"/>
        <v>9.16666666666667</v>
      </c>
    </row>
    <row r="201" spans="1:15">
      <c r="A201" s="95"/>
      <c r="B201" s="95"/>
      <c r="C201" s="95"/>
      <c r="D201" s="96"/>
      <c r="E201" s="97"/>
      <c r="F201" s="97"/>
      <c r="G201" s="97"/>
      <c r="H201" s="98"/>
      <c r="I201" s="98"/>
      <c r="J201" s="98"/>
      <c r="K201" s="95"/>
      <c r="L201" s="98"/>
      <c r="M201" s="95"/>
      <c r="N201" s="95"/>
      <c r="O201">
        <f t="shared" si="3"/>
        <v>0</v>
      </c>
    </row>
    <row r="202" spans="1:15">
      <c r="A202" s="90">
        <v>199</v>
      </c>
      <c r="B202" s="90" t="s">
        <v>109</v>
      </c>
      <c r="C202" s="91" t="s">
        <v>278</v>
      </c>
      <c r="D202" s="91" t="s">
        <v>279</v>
      </c>
      <c r="E202" s="92">
        <v>1</v>
      </c>
      <c r="F202" s="92">
        <v>1</v>
      </c>
      <c r="G202" s="92" t="e">
        <v>#DIV/0!</v>
      </c>
      <c r="H202" s="93">
        <v>9.33333333333333</v>
      </c>
      <c r="I202" s="93">
        <v>2</v>
      </c>
      <c r="J202" s="93">
        <v>0</v>
      </c>
      <c r="K202" s="23">
        <v>7</v>
      </c>
      <c r="L202" s="23">
        <v>3</v>
      </c>
      <c r="M202" s="23">
        <v>0</v>
      </c>
      <c r="N202" s="90"/>
      <c r="O202">
        <f t="shared" si="3"/>
        <v>30</v>
      </c>
    </row>
    <row r="203" spans="1:15">
      <c r="A203" s="95">
        <v>200</v>
      </c>
      <c r="B203" s="95" t="s">
        <v>109</v>
      </c>
      <c r="C203" s="96" t="s">
        <v>278</v>
      </c>
      <c r="D203" s="96" t="s">
        <v>280</v>
      </c>
      <c r="E203" s="97">
        <v>0.925</v>
      </c>
      <c r="F203" s="97" t="e">
        <v>#DIV/0!</v>
      </c>
      <c r="G203" s="97" t="e">
        <v>#DIV/0!</v>
      </c>
      <c r="H203" s="98">
        <v>3.33333333333333</v>
      </c>
      <c r="I203" s="98">
        <v>0</v>
      </c>
      <c r="J203" s="98">
        <v>0</v>
      </c>
      <c r="K203" s="25">
        <v>4</v>
      </c>
      <c r="L203" s="25">
        <v>1</v>
      </c>
      <c r="M203" s="25">
        <v>0</v>
      </c>
      <c r="N203" s="95"/>
      <c r="O203">
        <f t="shared" si="3"/>
        <v>10</v>
      </c>
    </row>
    <row r="204" spans="1:15">
      <c r="A204" s="90">
        <v>201</v>
      </c>
      <c r="B204" s="90" t="s">
        <v>109</v>
      </c>
      <c r="C204" s="91" t="s">
        <v>278</v>
      </c>
      <c r="D204" s="91" t="s">
        <v>281</v>
      </c>
      <c r="E204" s="92">
        <v>0.95</v>
      </c>
      <c r="F204" s="92">
        <v>0.09</v>
      </c>
      <c r="G204" s="92" t="e">
        <v>#DIV/0!</v>
      </c>
      <c r="H204" s="93">
        <v>3.33333333333333</v>
      </c>
      <c r="I204" s="93">
        <v>8.33333333333333</v>
      </c>
      <c r="J204" s="93">
        <v>0</v>
      </c>
      <c r="K204" s="23">
        <v>6</v>
      </c>
      <c r="L204" s="23">
        <v>2</v>
      </c>
      <c r="M204" s="23">
        <v>0</v>
      </c>
      <c r="N204" s="90"/>
      <c r="O204">
        <f t="shared" si="3"/>
        <v>20</v>
      </c>
    </row>
    <row r="205" spans="1:15">
      <c r="A205" s="95">
        <v>202</v>
      </c>
      <c r="B205" s="95" t="s">
        <v>109</v>
      </c>
      <c r="C205" s="96" t="s">
        <v>278</v>
      </c>
      <c r="D205" s="96" t="s">
        <v>282</v>
      </c>
      <c r="E205" s="97">
        <v>1</v>
      </c>
      <c r="F205" s="97">
        <v>1</v>
      </c>
      <c r="G205" s="97" t="e">
        <v>#DIV/0!</v>
      </c>
      <c r="H205" s="98">
        <v>6.16666666666667</v>
      </c>
      <c r="I205" s="98">
        <v>1.83333333333333</v>
      </c>
      <c r="J205" s="98">
        <v>0</v>
      </c>
      <c r="K205" s="25">
        <v>8</v>
      </c>
      <c r="L205" s="25">
        <v>2</v>
      </c>
      <c r="M205" s="25">
        <v>0</v>
      </c>
      <c r="N205" s="95"/>
      <c r="O205">
        <f t="shared" si="3"/>
        <v>20</v>
      </c>
    </row>
    <row r="206" spans="1:15">
      <c r="A206" s="90">
        <v>203</v>
      </c>
      <c r="B206" s="90" t="s">
        <v>109</v>
      </c>
      <c r="C206" s="91" t="s">
        <v>278</v>
      </c>
      <c r="D206" s="91" t="s">
        <v>283</v>
      </c>
      <c r="E206" s="92">
        <v>1</v>
      </c>
      <c r="F206" s="92">
        <v>1</v>
      </c>
      <c r="G206" s="92" t="e">
        <v>#DIV/0!</v>
      </c>
      <c r="H206" s="93">
        <v>5.66666666666667</v>
      </c>
      <c r="I206" s="93">
        <v>2.33333333333333</v>
      </c>
      <c r="J206" s="93">
        <v>0</v>
      </c>
      <c r="K206" s="23">
        <v>8</v>
      </c>
      <c r="L206" s="23">
        <v>3</v>
      </c>
      <c r="M206" s="23">
        <v>0</v>
      </c>
      <c r="N206" s="90"/>
      <c r="O206">
        <f t="shared" si="3"/>
        <v>30</v>
      </c>
    </row>
    <row r="207" spans="1:15">
      <c r="A207" s="95">
        <v>204</v>
      </c>
      <c r="B207" s="95" t="s">
        <v>109</v>
      </c>
      <c r="C207" s="96" t="s">
        <v>278</v>
      </c>
      <c r="D207" s="96" t="s">
        <v>284</v>
      </c>
      <c r="E207" s="97">
        <v>1</v>
      </c>
      <c r="F207" s="97" t="e">
        <v>#DIV/0!</v>
      </c>
      <c r="G207" s="97" t="e">
        <v>#DIV/0!</v>
      </c>
      <c r="H207" s="98">
        <v>3.75</v>
      </c>
      <c r="I207" s="98">
        <v>0</v>
      </c>
      <c r="J207" s="98">
        <v>0</v>
      </c>
      <c r="K207" s="25">
        <v>4</v>
      </c>
      <c r="L207" s="25">
        <v>3</v>
      </c>
      <c r="M207" s="25">
        <v>0</v>
      </c>
      <c r="N207" s="95"/>
      <c r="O207">
        <f t="shared" si="3"/>
        <v>30</v>
      </c>
    </row>
    <row r="208" spans="1:15">
      <c r="A208" s="90">
        <v>205</v>
      </c>
      <c r="B208" s="90" t="s">
        <v>109</v>
      </c>
      <c r="C208" s="91" t="s">
        <v>278</v>
      </c>
      <c r="D208" s="91" t="s">
        <v>285</v>
      </c>
      <c r="E208" s="92">
        <v>1</v>
      </c>
      <c r="F208" s="92" t="e">
        <v>#DIV/0!</v>
      </c>
      <c r="G208" s="92" t="e">
        <v>#DIV/0!</v>
      </c>
      <c r="H208" s="93">
        <v>3.33333333333333</v>
      </c>
      <c r="I208" s="93">
        <v>0</v>
      </c>
      <c r="J208" s="93">
        <v>0</v>
      </c>
      <c r="K208" s="23">
        <v>4</v>
      </c>
      <c r="L208" s="23">
        <v>1</v>
      </c>
      <c r="M208" s="23">
        <v>0</v>
      </c>
      <c r="N208" s="90"/>
      <c r="O208">
        <f t="shared" si="3"/>
        <v>10</v>
      </c>
    </row>
    <row r="209" spans="1:15">
      <c r="A209" s="95">
        <v>206</v>
      </c>
      <c r="B209" s="95" t="s">
        <v>109</v>
      </c>
      <c r="C209" s="96" t="s">
        <v>278</v>
      </c>
      <c r="D209" s="96" t="s">
        <v>286</v>
      </c>
      <c r="E209" s="97">
        <v>0.933333333333333</v>
      </c>
      <c r="F209" s="97">
        <v>0.96969696969697</v>
      </c>
      <c r="G209" s="97" t="e">
        <v>#DIV/0!</v>
      </c>
      <c r="H209" s="98">
        <v>5</v>
      </c>
      <c r="I209" s="98">
        <v>2.75</v>
      </c>
      <c r="J209" s="98">
        <v>0</v>
      </c>
      <c r="K209" s="25">
        <v>6</v>
      </c>
      <c r="L209" s="25">
        <v>3</v>
      </c>
      <c r="M209" s="25">
        <v>0</v>
      </c>
      <c r="N209" s="95"/>
      <c r="O209">
        <f t="shared" si="3"/>
        <v>30</v>
      </c>
    </row>
    <row r="210" spans="1:15">
      <c r="A210" s="90">
        <v>207</v>
      </c>
      <c r="B210" s="90" t="s">
        <v>109</v>
      </c>
      <c r="C210" s="91" t="s">
        <v>278</v>
      </c>
      <c r="D210" s="91" t="s">
        <v>287</v>
      </c>
      <c r="E210" s="92">
        <v>0.4375</v>
      </c>
      <c r="F210" s="92" t="e">
        <v>#DIV/0!</v>
      </c>
      <c r="G210" s="92" t="e">
        <v>#DIV/0!</v>
      </c>
      <c r="H210" s="93">
        <v>4</v>
      </c>
      <c r="I210" s="93">
        <v>0</v>
      </c>
      <c r="J210" s="93">
        <v>0</v>
      </c>
      <c r="K210" s="23">
        <v>5</v>
      </c>
      <c r="L210" s="23">
        <v>1</v>
      </c>
      <c r="M210" s="23">
        <v>0</v>
      </c>
      <c r="N210" s="90"/>
      <c r="O210">
        <f t="shared" si="3"/>
        <v>10</v>
      </c>
    </row>
    <row r="211" spans="1:15">
      <c r="A211" s="95">
        <v>208</v>
      </c>
      <c r="B211" s="95" t="s">
        <v>109</v>
      </c>
      <c r="C211" s="96" t="s">
        <v>278</v>
      </c>
      <c r="D211" s="96" t="s">
        <v>288</v>
      </c>
      <c r="E211" s="97">
        <v>1</v>
      </c>
      <c r="F211" s="97">
        <v>1</v>
      </c>
      <c r="G211" s="97" t="e">
        <v>#DIV/0!</v>
      </c>
      <c r="H211" s="98">
        <v>4.58333333333333</v>
      </c>
      <c r="I211" s="98">
        <v>0.416666666666667</v>
      </c>
      <c r="J211" s="98">
        <v>0</v>
      </c>
      <c r="K211" s="25">
        <v>6</v>
      </c>
      <c r="L211" s="25">
        <v>2</v>
      </c>
      <c r="M211" s="25">
        <v>0</v>
      </c>
      <c r="N211" s="95"/>
      <c r="O211">
        <f t="shared" si="3"/>
        <v>20</v>
      </c>
    </row>
    <row r="212" spans="1:15">
      <c r="A212" s="90">
        <v>209</v>
      </c>
      <c r="B212" s="90" t="s">
        <v>109</v>
      </c>
      <c r="C212" s="91" t="s">
        <v>278</v>
      </c>
      <c r="D212" s="91" t="s">
        <v>289</v>
      </c>
      <c r="E212" s="92">
        <v>1</v>
      </c>
      <c r="F212" s="92">
        <v>1</v>
      </c>
      <c r="G212" s="92" t="e">
        <v>#DIV/0!</v>
      </c>
      <c r="H212" s="93">
        <v>3.25</v>
      </c>
      <c r="I212" s="93">
        <v>0.5</v>
      </c>
      <c r="J212" s="93">
        <v>0</v>
      </c>
      <c r="K212" s="23">
        <v>6</v>
      </c>
      <c r="L212" s="23">
        <v>1</v>
      </c>
      <c r="M212" s="23">
        <v>0</v>
      </c>
      <c r="N212" s="90"/>
      <c r="O212">
        <f t="shared" si="3"/>
        <v>10</v>
      </c>
    </row>
    <row r="213" spans="1:15">
      <c r="A213" s="95">
        <v>210</v>
      </c>
      <c r="B213" s="95" t="s">
        <v>109</v>
      </c>
      <c r="C213" s="96" t="s">
        <v>278</v>
      </c>
      <c r="D213" s="96" t="s">
        <v>290</v>
      </c>
      <c r="E213" s="97">
        <v>0.959183673469388</v>
      </c>
      <c r="F213" s="97">
        <v>1.07692307692308</v>
      </c>
      <c r="G213" s="97" t="e">
        <v>#DIV/0!</v>
      </c>
      <c r="H213" s="98">
        <v>4.08333333333333</v>
      </c>
      <c r="I213" s="98">
        <v>1.08333333333333</v>
      </c>
      <c r="J213" s="98">
        <v>0</v>
      </c>
      <c r="K213" s="25">
        <v>5</v>
      </c>
      <c r="L213" s="25">
        <v>2</v>
      </c>
      <c r="M213" s="25">
        <v>0</v>
      </c>
      <c r="N213" s="95"/>
      <c r="O213">
        <f t="shared" si="3"/>
        <v>20</v>
      </c>
    </row>
    <row r="214" spans="1:15">
      <c r="A214" s="90">
        <v>211</v>
      </c>
      <c r="B214" s="90" t="s">
        <v>109</v>
      </c>
      <c r="C214" s="91" t="s">
        <v>278</v>
      </c>
      <c r="D214" s="91" t="s">
        <v>291</v>
      </c>
      <c r="E214" s="92">
        <v>1</v>
      </c>
      <c r="F214" s="92">
        <v>1</v>
      </c>
      <c r="G214" s="92" t="e">
        <v>#DIV/0!</v>
      </c>
      <c r="H214" s="93">
        <v>6</v>
      </c>
      <c r="I214" s="93">
        <v>1.83333333333333</v>
      </c>
      <c r="J214" s="93">
        <v>0</v>
      </c>
      <c r="K214" s="23">
        <v>5</v>
      </c>
      <c r="L214" s="23">
        <v>3</v>
      </c>
      <c r="M214" s="23">
        <v>0</v>
      </c>
      <c r="N214" s="90"/>
      <c r="O214">
        <f t="shared" si="3"/>
        <v>30</v>
      </c>
    </row>
    <row r="215" spans="1:15">
      <c r="A215" s="95">
        <v>212</v>
      </c>
      <c r="B215" s="95" t="s">
        <v>109</v>
      </c>
      <c r="C215" s="96" t="s">
        <v>278</v>
      </c>
      <c r="D215" s="96" t="s">
        <v>292</v>
      </c>
      <c r="E215" s="97">
        <v>0.895833333333333</v>
      </c>
      <c r="F215" s="97">
        <v>1.14285714285714</v>
      </c>
      <c r="G215" s="97" t="e">
        <v>#DIV/0!</v>
      </c>
      <c r="H215" s="98">
        <v>4</v>
      </c>
      <c r="I215" s="98">
        <v>1.16666666666667</v>
      </c>
      <c r="J215" s="98">
        <v>0</v>
      </c>
      <c r="K215" s="25">
        <v>7</v>
      </c>
      <c r="L215" s="25">
        <v>2</v>
      </c>
      <c r="M215" s="25">
        <v>0</v>
      </c>
      <c r="N215" s="95"/>
      <c r="O215">
        <f t="shared" si="3"/>
        <v>20</v>
      </c>
    </row>
    <row r="216" spans="1:15">
      <c r="A216" s="90">
        <v>213</v>
      </c>
      <c r="B216" s="90" t="s">
        <v>109</v>
      </c>
      <c r="C216" s="91" t="s">
        <v>278</v>
      </c>
      <c r="D216" s="91" t="s">
        <v>293</v>
      </c>
      <c r="E216" s="92">
        <v>1</v>
      </c>
      <c r="F216" s="92">
        <v>1</v>
      </c>
      <c r="G216" s="92" t="e">
        <v>#DIV/0!</v>
      </c>
      <c r="H216" s="93">
        <v>3.33333333333333</v>
      </c>
      <c r="I216" s="93">
        <v>0.333333333333333</v>
      </c>
      <c r="J216" s="93">
        <v>0</v>
      </c>
      <c r="K216" s="23">
        <v>7</v>
      </c>
      <c r="L216" s="23">
        <v>2</v>
      </c>
      <c r="M216" s="23">
        <v>0</v>
      </c>
      <c r="N216" s="90"/>
      <c r="O216">
        <f t="shared" si="3"/>
        <v>20</v>
      </c>
    </row>
    <row r="217" spans="1:15">
      <c r="A217" s="95">
        <v>214</v>
      </c>
      <c r="B217" s="95" t="s">
        <v>109</v>
      </c>
      <c r="C217" s="96" t="s">
        <v>278</v>
      </c>
      <c r="D217" s="96" t="s">
        <v>294</v>
      </c>
      <c r="E217" s="97">
        <v>1</v>
      </c>
      <c r="F217" s="97">
        <v>1</v>
      </c>
      <c r="G217" s="97" t="e">
        <v>#DIV/0!</v>
      </c>
      <c r="H217" s="98">
        <v>5</v>
      </c>
      <c r="I217" s="98">
        <v>1.66666666666667</v>
      </c>
      <c r="J217" s="98">
        <v>0</v>
      </c>
      <c r="K217" s="25">
        <v>4</v>
      </c>
      <c r="L217" s="25">
        <v>2</v>
      </c>
      <c r="M217" s="25">
        <v>0</v>
      </c>
      <c r="N217" s="95"/>
      <c r="O217">
        <f t="shared" si="3"/>
        <v>20</v>
      </c>
    </row>
    <row r="218" spans="1:15">
      <c r="A218" s="90">
        <v>215</v>
      </c>
      <c r="B218" s="90" t="s">
        <v>109</v>
      </c>
      <c r="C218" s="91" t="s">
        <v>278</v>
      </c>
      <c r="D218" s="91" t="s">
        <v>295</v>
      </c>
      <c r="E218" s="92">
        <v>1</v>
      </c>
      <c r="F218" s="92" t="e">
        <v>#DIV/0!</v>
      </c>
      <c r="G218" s="92" t="e">
        <v>#DIV/0!</v>
      </c>
      <c r="H218" s="93">
        <v>3.33333333333333</v>
      </c>
      <c r="I218" s="93">
        <v>0</v>
      </c>
      <c r="J218" s="93">
        <v>0</v>
      </c>
      <c r="K218" s="23">
        <v>6</v>
      </c>
      <c r="L218" s="23">
        <v>3</v>
      </c>
      <c r="M218" s="23">
        <v>0</v>
      </c>
      <c r="N218" s="90"/>
      <c r="O218">
        <f t="shared" si="3"/>
        <v>30</v>
      </c>
    </row>
    <row r="219" spans="1:15">
      <c r="A219" s="95">
        <v>216</v>
      </c>
      <c r="B219" s="95" t="s">
        <v>109</v>
      </c>
      <c r="C219" s="96" t="s">
        <v>278</v>
      </c>
      <c r="D219" s="96" t="s">
        <v>296</v>
      </c>
      <c r="E219" s="97">
        <v>1</v>
      </c>
      <c r="F219" s="97">
        <v>0</v>
      </c>
      <c r="G219" s="97" t="e">
        <v>#DIV/0!</v>
      </c>
      <c r="H219" s="98">
        <v>3.66666666666667</v>
      </c>
      <c r="I219" s="98">
        <v>0.0833333333333333</v>
      </c>
      <c r="J219" s="98">
        <v>0</v>
      </c>
      <c r="K219" s="25">
        <v>4</v>
      </c>
      <c r="L219" s="25">
        <v>1</v>
      </c>
      <c r="M219" s="25">
        <v>0</v>
      </c>
      <c r="N219" s="95"/>
      <c r="O219">
        <f t="shared" si="3"/>
        <v>10</v>
      </c>
    </row>
    <row r="220" spans="1:15">
      <c r="A220" s="90">
        <v>217</v>
      </c>
      <c r="B220" s="90" t="s">
        <v>109</v>
      </c>
      <c r="C220" s="91" t="s">
        <v>278</v>
      </c>
      <c r="D220" s="91" t="s">
        <v>297</v>
      </c>
      <c r="E220" s="92">
        <v>0.911764705882353</v>
      </c>
      <c r="F220" s="92">
        <v>0.857142857142857</v>
      </c>
      <c r="G220" s="92" t="e">
        <v>#DIV/0!</v>
      </c>
      <c r="H220" s="93">
        <v>5.66666666666667</v>
      </c>
      <c r="I220" s="93">
        <v>2.33333333333333</v>
      </c>
      <c r="J220" s="93">
        <v>0</v>
      </c>
      <c r="K220" s="23">
        <v>5</v>
      </c>
      <c r="L220" s="23">
        <v>4</v>
      </c>
      <c r="M220" s="23">
        <v>0</v>
      </c>
      <c r="N220" s="90"/>
      <c r="O220">
        <f t="shared" si="3"/>
        <v>40</v>
      </c>
    </row>
    <row r="221" spans="1:15">
      <c r="A221" s="95">
        <v>218</v>
      </c>
      <c r="B221" s="95" t="s">
        <v>109</v>
      </c>
      <c r="C221" s="96" t="s">
        <v>278</v>
      </c>
      <c r="D221" s="96" t="s">
        <v>298</v>
      </c>
      <c r="E221" s="97">
        <v>1</v>
      </c>
      <c r="F221" s="97" t="e">
        <v>#DIV/0!</v>
      </c>
      <c r="G221" s="97" t="e">
        <v>#DIV/0!</v>
      </c>
      <c r="H221" s="98">
        <v>3.41666666666667</v>
      </c>
      <c r="I221" s="98">
        <v>0</v>
      </c>
      <c r="J221" s="98">
        <v>0</v>
      </c>
      <c r="K221" s="25">
        <v>5</v>
      </c>
      <c r="L221" s="25">
        <v>3</v>
      </c>
      <c r="M221" s="25">
        <v>0</v>
      </c>
      <c r="N221" s="95"/>
      <c r="O221">
        <f t="shared" si="3"/>
        <v>30</v>
      </c>
    </row>
    <row r="222" spans="1:15">
      <c r="A222" s="90">
        <v>219</v>
      </c>
      <c r="B222" s="90" t="s">
        <v>109</v>
      </c>
      <c r="C222" s="91" t="s">
        <v>278</v>
      </c>
      <c r="D222" s="91" t="s">
        <v>299</v>
      </c>
      <c r="E222" s="92">
        <v>1</v>
      </c>
      <c r="F222" s="92">
        <v>1</v>
      </c>
      <c r="G222" s="92" t="e">
        <v>#DIV/0!</v>
      </c>
      <c r="H222" s="93">
        <v>5.33333333333333</v>
      </c>
      <c r="I222" s="93">
        <v>1.66666666666667</v>
      </c>
      <c r="J222" s="93">
        <v>0</v>
      </c>
      <c r="K222" s="23">
        <v>6</v>
      </c>
      <c r="L222" s="23">
        <v>2</v>
      </c>
      <c r="M222" s="23">
        <v>0</v>
      </c>
      <c r="N222" s="90"/>
      <c r="O222">
        <f t="shared" si="3"/>
        <v>20</v>
      </c>
    </row>
    <row r="223" spans="1:15">
      <c r="A223" s="95">
        <v>220</v>
      </c>
      <c r="B223" s="95" t="s">
        <v>109</v>
      </c>
      <c r="C223" s="96" t="s">
        <v>278</v>
      </c>
      <c r="D223" s="96" t="s">
        <v>300</v>
      </c>
      <c r="E223" s="97">
        <v>1</v>
      </c>
      <c r="F223" s="97" t="e">
        <v>#DIV/0!</v>
      </c>
      <c r="G223" s="97" t="e">
        <v>#DIV/0!</v>
      </c>
      <c r="H223" s="98">
        <v>3.33333333333333</v>
      </c>
      <c r="I223" s="98">
        <v>0</v>
      </c>
      <c r="J223" s="98">
        <v>0</v>
      </c>
      <c r="K223" s="25">
        <v>5</v>
      </c>
      <c r="L223" s="25">
        <v>1</v>
      </c>
      <c r="M223" s="25">
        <v>0</v>
      </c>
      <c r="N223" s="95"/>
      <c r="O223">
        <f t="shared" si="3"/>
        <v>10</v>
      </c>
    </row>
    <row r="224" spans="1:15">
      <c r="A224" s="95"/>
      <c r="B224" s="95"/>
      <c r="C224" s="95"/>
      <c r="D224" s="96"/>
      <c r="E224" s="97"/>
      <c r="F224" s="97"/>
      <c r="G224" s="97"/>
      <c r="H224" s="98"/>
      <c r="I224" s="98"/>
      <c r="J224" s="98"/>
      <c r="K224" s="95"/>
      <c r="L224" s="95"/>
      <c r="M224" s="95"/>
      <c r="N224" s="95"/>
      <c r="O224">
        <f t="shared" si="3"/>
        <v>0</v>
      </c>
    </row>
    <row r="225" spans="1:15">
      <c r="A225" s="90">
        <v>222</v>
      </c>
      <c r="B225" s="90" t="s">
        <v>22</v>
      </c>
      <c r="C225" s="91" t="s">
        <v>301</v>
      </c>
      <c r="D225" s="91" t="s">
        <v>302</v>
      </c>
      <c r="E225" s="92">
        <v>0.977777777777778</v>
      </c>
      <c r="F225" s="92">
        <v>0.96875</v>
      </c>
      <c r="G225" s="92" t="e">
        <v>#DIV/0!</v>
      </c>
      <c r="H225" s="93">
        <v>3.75</v>
      </c>
      <c r="I225" s="93">
        <v>2.66666666666667</v>
      </c>
      <c r="J225" s="93">
        <v>0</v>
      </c>
      <c r="K225" s="94">
        <v>4</v>
      </c>
      <c r="L225" s="23">
        <v>3</v>
      </c>
      <c r="M225" s="94">
        <v>0</v>
      </c>
      <c r="N225" s="90"/>
      <c r="O225">
        <f t="shared" si="3"/>
        <v>30</v>
      </c>
    </row>
    <row r="226" spans="1:15">
      <c r="A226" s="95">
        <v>223</v>
      </c>
      <c r="B226" s="95" t="s">
        <v>22</v>
      </c>
      <c r="C226" s="96" t="s">
        <v>301</v>
      </c>
      <c r="D226" s="96" t="s">
        <v>303</v>
      </c>
      <c r="E226" s="97">
        <v>1</v>
      </c>
      <c r="F226" s="97">
        <v>0.857142857142857</v>
      </c>
      <c r="G226" s="97" t="e">
        <v>#DIV/0!</v>
      </c>
      <c r="H226" s="98">
        <v>3.58333333333333</v>
      </c>
      <c r="I226" s="98">
        <v>0.583333333333333</v>
      </c>
      <c r="J226" s="98">
        <v>0</v>
      </c>
      <c r="K226" s="99">
        <v>4</v>
      </c>
      <c r="L226" s="25">
        <v>1</v>
      </c>
      <c r="M226" s="99">
        <v>0</v>
      </c>
      <c r="N226" s="95"/>
      <c r="O226">
        <f t="shared" si="3"/>
        <v>10</v>
      </c>
    </row>
    <row r="227" spans="1:15">
      <c r="A227" s="90">
        <v>224</v>
      </c>
      <c r="B227" s="90" t="s">
        <v>22</v>
      </c>
      <c r="C227" s="91" t="s">
        <v>301</v>
      </c>
      <c r="D227" s="91" t="s">
        <v>304</v>
      </c>
      <c r="E227" s="92">
        <v>0.842105263157895</v>
      </c>
      <c r="F227" s="92">
        <v>0.75</v>
      </c>
      <c r="G227" s="92">
        <v>0</v>
      </c>
      <c r="H227" s="93">
        <v>3.16666666666667</v>
      </c>
      <c r="I227" s="93">
        <v>1.66666666666667</v>
      </c>
      <c r="J227" s="93">
        <v>0.5</v>
      </c>
      <c r="K227" s="94">
        <v>4</v>
      </c>
      <c r="L227" s="23">
        <v>2</v>
      </c>
      <c r="M227" s="94">
        <v>1</v>
      </c>
      <c r="N227" s="90"/>
      <c r="O227">
        <f t="shared" si="3"/>
        <v>20</v>
      </c>
    </row>
    <row r="228" spans="1:15">
      <c r="A228" s="95">
        <v>225</v>
      </c>
      <c r="B228" s="95" t="s">
        <v>22</v>
      </c>
      <c r="C228" s="96" t="s">
        <v>301</v>
      </c>
      <c r="D228" s="96" t="s">
        <v>305</v>
      </c>
      <c r="E228" s="97">
        <v>0.945945945945946</v>
      </c>
      <c r="F228" s="97">
        <v>1.5</v>
      </c>
      <c r="G228" s="97" t="e">
        <v>#DIV/0!</v>
      </c>
      <c r="H228" s="98">
        <v>3.08333333333333</v>
      </c>
      <c r="I228" s="98">
        <v>2.5</v>
      </c>
      <c r="J228" s="98">
        <v>0</v>
      </c>
      <c r="K228" s="99">
        <v>4</v>
      </c>
      <c r="L228" s="25">
        <v>3</v>
      </c>
      <c r="M228" s="99">
        <v>1</v>
      </c>
      <c r="N228" s="95"/>
      <c r="O228">
        <f t="shared" si="3"/>
        <v>30</v>
      </c>
    </row>
    <row r="229" spans="1:15">
      <c r="A229" s="90">
        <v>226</v>
      </c>
      <c r="B229" s="90" t="s">
        <v>22</v>
      </c>
      <c r="C229" s="91" t="s">
        <v>301</v>
      </c>
      <c r="D229" s="91" t="s">
        <v>306</v>
      </c>
      <c r="E229" s="92" t="e">
        <v>#DIV/0!</v>
      </c>
      <c r="F229" s="92" t="e">
        <v>#DIV/0!</v>
      </c>
      <c r="G229" s="92" t="e">
        <v>#DIV/0!</v>
      </c>
      <c r="H229" s="93">
        <v>0</v>
      </c>
      <c r="I229" s="93">
        <v>0</v>
      </c>
      <c r="J229" s="93">
        <v>0</v>
      </c>
      <c r="K229" s="94">
        <v>4</v>
      </c>
      <c r="L229" s="23">
        <v>0</v>
      </c>
      <c r="M229" s="94">
        <v>0</v>
      </c>
      <c r="N229" s="90"/>
      <c r="O229">
        <f t="shared" si="3"/>
        <v>0</v>
      </c>
    </row>
    <row r="230" spans="1:15">
      <c r="A230" s="95">
        <v>227</v>
      </c>
      <c r="B230" s="95" t="s">
        <v>22</v>
      </c>
      <c r="C230" s="96" t="s">
        <v>301</v>
      </c>
      <c r="D230" s="96" t="s">
        <v>307</v>
      </c>
      <c r="E230" s="97">
        <v>1</v>
      </c>
      <c r="F230" s="97">
        <v>1</v>
      </c>
      <c r="G230" s="97" t="e">
        <v>#DIV/0!</v>
      </c>
      <c r="H230" s="98">
        <v>4.08333333333333</v>
      </c>
      <c r="I230" s="98">
        <v>2</v>
      </c>
      <c r="J230" s="98">
        <v>0</v>
      </c>
      <c r="K230" s="99">
        <v>4</v>
      </c>
      <c r="L230" s="25">
        <v>2</v>
      </c>
      <c r="M230" s="99">
        <v>1</v>
      </c>
      <c r="N230" s="95"/>
      <c r="O230">
        <f t="shared" si="3"/>
        <v>20</v>
      </c>
    </row>
    <row r="231" spans="1:15">
      <c r="A231" s="90">
        <v>228</v>
      </c>
      <c r="B231" s="90" t="s">
        <v>22</v>
      </c>
      <c r="C231" s="91" t="s">
        <v>301</v>
      </c>
      <c r="D231" s="91" t="s">
        <v>308</v>
      </c>
      <c r="E231" s="92">
        <v>0.829931972789116</v>
      </c>
      <c r="F231" s="92">
        <v>0.870967741935484</v>
      </c>
      <c r="G231" s="92" t="e">
        <v>#DIV/0!</v>
      </c>
      <c r="H231" s="93">
        <v>12.25</v>
      </c>
      <c r="I231" s="93">
        <v>5.16666666666667</v>
      </c>
      <c r="J231" s="93">
        <v>0</v>
      </c>
      <c r="K231" s="94">
        <v>6</v>
      </c>
      <c r="L231" s="23">
        <v>2</v>
      </c>
      <c r="M231" s="94">
        <v>0</v>
      </c>
      <c r="N231" s="90"/>
      <c r="O231">
        <f t="shared" si="3"/>
        <v>20</v>
      </c>
    </row>
    <row r="232" spans="1:15">
      <c r="A232" s="95">
        <v>229</v>
      </c>
      <c r="B232" s="95" t="s">
        <v>22</v>
      </c>
      <c r="C232" s="96" t="s">
        <v>301</v>
      </c>
      <c r="D232" s="96" t="s">
        <v>309</v>
      </c>
      <c r="E232" s="97">
        <v>1</v>
      </c>
      <c r="F232" s="97">
        <v>1</v>
      </c>
      <c r="G232" s="97" t="e">
        <v>#DIV/0!</v>
      </c>
      <c r="H232" s="98">
        <v>3.91666666666667</v>
      </c>
      <c r="I232" s="98">
        <v>1.91666666666667</v>
      </c>
      <c r="J232" s="98">
        <v>0</v>
      </c>
      <c r="K232" s="99">
        <v>4</v>
      </c>
      <c r="L232" s="25">
        <v>2</v>
      </c>
      <c r="M232" s="99">
        <v>0</v>
      </c>
      <c r="N232" s="95"/>
      <c r="O232">
        <f t="shared" si="3"/>
        <v>20</v>
      </c>
    </row>
    <row r="233" spans="1:15">
      <c r="A233" s="90">
        <v>230</v>
      </c>
      <c r="B233" s="90" t="s">
        <v>22</v>
      </c>
      <c r="C233" s="91" t="s">
        <v>301</v>
      </c>
      <c r="D233" s="91" t="s">
        <v>310</v>
      </c>
      <c r="E233" s="92">
        <v>1</v>
      </c>
      <c r="F233" s="92">
        <v>1</v>
      </c>
      <c r="G233" s="92" t="e">
        <v>#DIV/0!</v>
      </c>
      <c r="H233" s="93">
        <v>4</v>
      </c>
      <c r="I233" s="93">
        <v>2.33333333333333</v>
      </c>
      <c r="J233" s="93">
        <v>0</v>
      </c>
      <c r="K233" s="94">
        <v>4</v>
      </c>
      <c r="L233" s="23">
        <v>2</v>
      </c>
      <c r="M233" s="94">
        <v>0</v>
      </c>
      <c r="N233" s="90"/>
      <c r="O233">
        <f t="shared" si="3"/>
        <v>20</v>
      </c>
    </row>
    <row r="234" spans="1:15">
      <c r="A234" s="95">
        <v>231</v>
      </c>
      <c r="B234" s="95" t="s">
        <v>22</v>
      </c>
      <c r="C234" s="96" t="s">
        <v>301</v>
      </c>
      <c r="D234" s="96" t="s">
        <v>311</v>
      </c>
      <c r="E234" s="97">
        <v>1</v>
      </c>
      <c r="F234" s="97">
        <v>1</v>
      </c>
      <c r="G234" s="97" t="e">
        <v>#DIV/0!</v>
      </c>
      <c r="H234" s="98">
        <v>3.33333333333333</v>
      </c>
      <c r="I234" s="98">
        <v>1</v>
      </c>
      <c r="J234" s="98">
        <v>0</v>
      </c>
      <c r="K234" s="99">
        <v>6</v>
      </c>
      <c r="L234" s="25">
        <v>2</v>
      </c>
      <c r="M234" s="99">
        <v>1</v>
      </c>
      <c r="N234" s="95"/>
      <c r="O234">
        <f t="shared" si="3"/>
        <v>20</v>
      </c>
    </row>
    <row r="235" spans="1:15">
      <c r="A235" s="90">
        <v>232</v>
      </c>
      <c r="B235" s="90" t="s">
        <v>22</v>
      </c>
      <c r="C235" s="91" t="s">
        <v>301</v>
      </c>
      <c r="D235" s="91" t="s">
        <v>312</v>
      </c>
      <c r="E235" s="92">
        <v>0.985294117647059</v>
      </c>
      <c r="F235" s="92">
        <v>0.973684210526316</v>
      </c>
      <c r="G235" s="92" t="e">
        <v>#DIV/0!</v>
      </c>
      <c r="H235" s="93">
        <v>5.66666666666667</v>
      </c>
      <c r="I235" s="93">
        <v>3.16666666666667</v>
      </c>
      <c r="J235" s="93">
        <v>0</v>
      </c>
      <c r="K235" s="94">
        <v>4</v>
      </c>
      <c r="L235" s="23">
        <v>3</v>
      </c>
      <c r="M235" s="94">
        <v>0</v>
      </c>
      <c r="N235" s="90"/>
      <c r="O235">
        <f t="shared" si="3"/>
        <v>30</v>
      </c>
    </row>
    <row r="236" spans="1:15">
      <c r="A236" s="95">
        <v>233</v>
      </c>
      <c r="B236" s="95" t="s">
        <v>22</v>
      </c>
      <c r="C236" s="96" t="s">
        <v>301</v>
      </c>
      <c r="D236" s="96" t="s">
        <v>313</v>
      </c>
      <c r="E236" s="97">
        <v>0.909090909090909</v>
      </c>
      <c r="F236" s="97">
        <v>1</v>
      </c>
      <c r="G236" s="97" t="e">
        <v>#DIV/0!</v>
      </c>
      <c r="H236" s="98">
        <v>3.66666666666667</v>
      </c>
      <c r="I236" s="98">
        <v>1</v>
      </c>
      <c r="J236" s="98">
        <v>0</v>
      </c>
      <c r="K236" s="99">
        <v>4</v>
      </c>
      <c r="L236" s="25">
        <v>1</v>
      </c>
      <c r="M236" s="99">
        <v>0</v>
      </c>
      <c r="N236" s="95"/>
      <c r="O236">
        <f t="shared" si="3"/>
        <v>10</v>
      </c>
    </row>
    <row r="237" spans="1:15">
      <c r="A237" s="90">
        <v>234</v>
      </c>
      <c r="B237" s="90" t="s">
        <v>22</v>
      </c>
      <c r="C237" s="91" t="s">
        <v>301</v>
      </c>
      <c r="D237" s="91" t="s">
        <v>314</v>
      </c>
      <c r="E237" s="92">
        <v>0.857142857142857</v>
      </c>
      <c r="F237" s="92">
        <v>0.863636363636364</v>
      </c>
      <c r="G237" s="92" t="e">
        <v>#DIV/0!</v>
      </c>
      <c r="H237" s="93">
        <v>3.5</v>
      </c>
      <c r="I237" s="93">
        <v>1.83333333333333</v>
      </c>
      <c r="J237" s="93">
        <v>0</v>
      </c>
      <c r="K237" s="94">
        <v>4</v>
      </c>
      <c r="L237" s="23">
        <v>2</v>
      </c>
      <c r="M237" s="94">
        <v>1</v>
      </c>
      <c r="N237" s="90"/>
      <c r="O237">
        <f t="shared" si="3"/>
        <v>20</v>
      </c>
    </row>
    <row r="238" spans="1:15">
      <c r="A238" s="95">
        <v>235</v>
      </c>
      <c r="B238" s="95" t="s">
        <v>22</v>
      </c>
      <c r="C238" s="96" t="s">
        <v>301</v>
      </c>
      <c r="D238" s="96" t="s">
        <v>315</v>
      </c>
      <c r="E238" s="97">
        <v>0.984848484848485</v>
      </c>
      <c r="F238" s="97">
        <v>1.04545454545455</v>
      </c>
      <c r="G238" s="97" t="e">
        <v>#DIV/0!</v>
      </c>
      <c r="H238" s="98">
        <v>5.5</v>
      </c>
      <c r="I238" s="98">
        <v>1.83333333333333</v>
      </c>
      <c r="J238" s="98">
        <v>0</v>
      </c>
      <c r="K238" s="99">
        <v>6</v>
      </c>
      <c r="L238" s="25">
        <v>2</v>
      </c>
      <c r="M238" s="99">
        <v>1</v>
      </c>
      <c r="N238" s="95"/>
      <c r="O238">
        <f t="shared" si="3"/>
        <v>20</v>
      </c>
    </row>
    <row r="239" spans="1:15">
      <c r="A239" s="90">
        <v>236</v>
      </c>
      <c r="B239" s="90" t="s">
        <v>22</v>
      </c>
      <c r="C239" s="91" t="s">
        <v>301</v>
      </c>
      <c r="D239" s="91" t="s">
        <v>316</v>
      </c>
      <c r="E239" s="92">
        <v>0.772727272727273</v>
      </c>
      <c r="F239" s="92">
        <v>1.07692307692308</v>
      </c>
      <c r="G239" s="92" t="e">
        <v>#DIV/0!</v>
      </c>
      <c r="H239" s="93">
        <v>3.66666666666667</v>
      </c>
      <c r="I239" s="93">
        <v>1.08333333333333</v>
      </c>
      <c r="J239" s="93">
        <v>0</v>
      </c>
      <c r="K239" s="94">
        <v>4</v>
      </c>
      <c r="L239" s="23">
        <v>1</v>
      </c>
      <c r="M239" s="94">
        <v>0</v>
      </c>
      <c r="N239" s="90"/>
      <c r="O239">
        <f t="shared" si="3"/>
        <v>10</v>
      </c>
    </row>
    <row r="240" spans="1:15">
      <c r="A240" s="95">
        <v>237</v>
      </c>
      <c r="B240" s="95" t="s">
        <v>22</v>
      </c>
      <c r="C240" s="96" t="s">
        <v>301</v>
      </c>
      <c r="D240" s="96" t="s">
        <v>317</v>
      </c>
      <c r="E240" s="97">
        <v>1</v>
      </c>
      <c r="F240" s="97">
        <v>1</v>
      </c>
      <c r="G240" s="97" t="e">
        <v>#DIV/0!</v>
      </c>
      <c r="H240" s="98">
        <v>8.16666666666667</v>
      </c>
      <c r="I240" s="98">
        <v>2.83333333333333</v>
      </c>
      <c r="J240" s="98">
        <v>0</v>
      </c>
      <c r="K240" s="99">
        <v>6</v>
      </c>
      <c r="L240" s="99">
        <v>2</v>
      </c>
      <c r="M240" s="99">
        <v>0</v>
      </c>
      <c r="N240" s="95"/>
      <c r="O240">
        <f t="shared" si="3"/>
        <v>20</v>
      </c>
    </row>
    <row r="241" spans="1:15">
      <c r="A241" s="90">
        <v>238</v>
      </c>
      <c r="B241" s="90" t="s">
        <v>22</v>
      </c>
      <c r="C241" s="91" t="s">
        <v>301</v>
      </c>
      <c r="D241" s="91" t="s">
        <v>318</v>
      </c>
      <c r="E241" s="92">
        <v>0.987179487179487</v>
      </c>
      <c r="F241" s="92">
        <v>1.12</v>
      </c>
      <c r="G241" s="92" t="e">
        <v>#DIV/0!</v>
      </c>
      <c r="H241" s="93">
        <v>6.5</v>
      </c>
      <c r="I241" s="93">
        <v>2.08333333333333</v>
      </c>
      <c r="J241" s="93">
        <v>0</v>
      </c>
      <c r="K241" s="94">
        <v>4</v>
      </c>
      <c r="L241" s="23">
        <v>2</v>
      </c>
      <c r="M241" s="94">
        <v>0</v>
      </c>
      <c r="N241" s="90"/>
      <c r="O241">
        <f t="shared" si="3"/>
        <v>20</v>
      </c>
    </row>
    <row r="242" spans="1:15">
      <c r="A242" s="95">
        <v>239</v>
      </c>
      <c r="B242" s="95" t="s">
        <v>22</v>
      </c>
      <c r="C242" s="96" t="s">
        <v>301</v>
      </c>
      <c r="D242" s="96" t="s">
        <v>319</v>
      </c>
      <c r="E242" s="97">
        <v>1</v>
      </c>
      <c r="F242" s="97">
        <v>1</v>
      </c>
      <c r="G242" s="97" t="e">
        <v>#DIV/0!</v>
      </c>
      <c r="H242" s="98">
        <v>4.5</v>
      </c>
      <c r="I242" s="98">
        <v>0.916666666666667</v>
      </c>
      <c r="J242" s="98">
        <v>0</v>
      </c>
      <c r="K242" s="99">
        <v>4</v>
      </c>
      <c r="L242" s="25">
        <v>1</v>
      </c>
      <c r="M242" s="99">
        <v>0</v>
      </c>
      <c r="N242" s="95"/>
      <c r="O242">
        <f t="shared" si="3"/>
        <v>10</v>
      </c>
    </row>
    <row r="243" spans="1:15">
      <c r="A243" s="90">
        <v>240</v>
      </c>
      <c r="B243" s="90" t="s">
        <v>22</v>
      </c>
      <c r="C243" s="91" t="s">
        <v>301</v>
      </c>
      <c r="D243" s="91" t="s">
        <v>320</v>
      </c>
      <c r="E243" s="92">
        <v>1</v>
      </c>
      <c r="F243" s="92">
        <v>1</v>
      </c>
      <c r="G243" s="92" t="e">
        <v>#DIV/0!</v>
      </c>
      <c r="H243" s="93">
        <v>3.33333333333333</v>
      </c>
      <c r="I243" s="93">
        <v>1.16666666666667</v>
      </c>
      <c r="J243" s="93">
        <v>0</v>
      </c>
      <c r="K243" s="94">
        <v>4</v>
      </c>
      <c r="L243" s="23">
        <v>1</v>
      </c>
      <c r="M243" s="94">
        <v>0</v>
      </c>
      <c r="N243" s="90"/>
      <c r="O243">
        <f t="shared" si="3"/>
        <v>10</v>
      </c>
    </row>
    <row r="244" spans="1:15">
      <c r="A244" s="95">
        <v>241</v>
      </c>
      <c r="B244" s="95" t="s">
        <v>22</v>
      </c>
      <c r="C244" s="96" t="s">
        <v>301</v>
      </c>
      <c r="D244" s="96" t="s">
        <v>321</v>
      </c>
      <c r="E244" s="97">
        <v>0.974683544303797</v>
      </c>
      <c r="F244" s="97">
        <v>1.05405405405405</v>
      </c>
      <c r="G244" s="97">
        <v>0.25</v>
      </c>
      <c r="H244" s="98">
        <v>6.58333333333333</v>
      </c>
      <c r="I244" s="98">
        <v>3.08333333333333</v>
      </c>
      <c r="J244" s="98">
        <v>0.333333333333333</v>
      </c>
      <c r="K244" s="99">
        <v>6</v>
      </c>
      <c r="L244" s="25">
        <v>2</v>
      </c>
      <c r="M244" s="99">
        <v>1</v>
      </c>
      <c r="N244" s="95"/>
      <c r="O244">
        <f t="shared" si="3"/>
        <v>20</v>
      </c>
    </row>
    <row r="245" spans="1:15">
      <c r="A245" s="90">
        <v>242</v>
      </c>
      <c r="B245" s="90" t="s">
        <v>22</v>
      </c>
      <c r="C245" s="91" t="s">
        <v>301</v>
      </c>
      <c r="D245" s="91" t="s">
        <v>322</v>
      </c>
      <c r="E245" s="92">
        <v>0.805555555555556</v>
      </c>
      <c r="F245" s="92">
        <v>1</v>
      </c>
      <c r="G245" s="92" t="e">
        <v>#DIV/0!</v>
      </c>
      <c r="H245" s="93">
        <v>3</v>
      </c>
      <c r="I245" s="93">
        <v>1</v>
      </c>
      <c r="J245" s="93">
        <v>0</v>
      </c>
      <c r="K245" s="94">
        <v>4</v>
      </c>
      <c r="L245" s="23">
        <v>1</v>
      </c>
      <c r="M245" s="94">
        <v>1</v>
      </c>
      <c r="N245" s="90"/>
      <c r="O245">
        <f t="shared" si="3"/>
        <v>10</v>
      </c>
    </row>
    <row r="246" spans="1:15">
      <c r="A246" s="95">
        <v>243</v>
      </c>
      <c r="B246" s="95" t="s">
        <v>22</v>
      </c>
      <c r="C246" s="96" t="s">
        <v>301</v>
      </c>
      <c r="D246" s="96" t="s">
        <v>323</v>
      </c>
      <c r="E246" s="97">
        <v>0.951219512195122</v>
      </c>
      <c r="F246" s="97">
        <v>0.8</v>
      </c>
      <c r="G246" s="97" t="e">
        <v>#DIV/0!</v>
      </c>
      <c r="H246" s="98">
        <v>3.41666666666667</v>
      </c>
      <c r="I246" s="98">
        <v>0.416666666666667</v>
      </c>
      <c r="J246" s="98">
        <v>0</v>
      </c>
      <c r="K246" s="99">
        <v>4</v>
      </c>
      <c r="L246" s="25">
        <v>0</v>
      </c>
      <c r="M246" s="99">
        <v>0</v>
      </c>
      <c r="N246" s="95"/>
      <c r="O246">
        <f t="shared" si="3"/>
        <v>0</v>
      </c>
    </row>
    <row r="247" spans="1:15">
      <c r="A247" s="90">
        <v>244</v>
      </c>
      <c r="B247" s="90" t="s">
        <v>22</v>
      </c>
      <c r="C247" s="91" t="s">
        <v>301</v>
      </c>
      <c r="D247" s="91" t="s">
        <v>324</v>
      </c>
      <c r="E247" s="92">
        <v>0.810810810810811</v>
      </c>
      <c r="F247" s="92">
        <v>0.675</v>
      </c>
      <c r="G247" s="92" t="e">
        <v>#DIV/0!</v>
      </c>
      <c r="H247" s="93">
        <v>6.16666666666667</v>
      </c>
      <c r="I247" s="93">
        <v>3.33333333333333</v>
      </c>
      <c r="J247" s="93">
        <v>0</v>
      </c>
      <c r="K247" s="94">
        <v>10</v>
      </c>
      <c r="L247" s="23">
        <v>3</v>
      </c>
      <c r="M247" s="94">
        <v>0</v>
      </c>
      <c r="N247" s="90"/>
      <c r="O247">
        <f t="shared" si="3"/>
        <v>30</v>
      </c>
    </row>
    <row r="248" spans="1:15">
      <c r="A248" s="95">
        <v>245</v>
      </c>
      <c r="B248" s="95" t="s">
        <v>22</v>
      </c>
      <c r="C248" s="96" t="s">
        <v>301</v>
      </c>
      <c r="D248" s="96" t="s">
        <v>325</v>
      </c>
      <c r="E248" s="97">
        <v>1</v>
      </c>
      <c r="F248" s="97">
        <v>1.42857142857143</v>
      </c>
      <c r="G248" s="97" t="e">
        <v>#DIV/0!</v>
      </c>
      <c r="H248" s="98">
        <v>4</v>
      </c>
      <c r="I248" s="98">
        <v>1.16666666666667</v>
      </c>
      <c r="J248" s="98">
        <v>0</v>
      </c>
      <c r="K248" s="99">
        <v>6</v>
      </c>
      <c r="L248" s="25">
        <v>2</v>
      </c>
      <c r="M248" s="99">
        <v>1</v>
      </c>
      <c r="N248" s="95"/>
      <c r="O248">
        <f t="shared" si="3"/>
        <v>20</v>
      </c>
    </row>
    <row r="249" spans="1:15">
      <c r="A249" s="90">
        <v>246</v>
      </c>
      <c r="B249" s="90" t="s">
        <v>22</v>
      </c>
      <c r="C249" s="91" t="s">
        <v>301</v>
      </c>
      <c r="D249" s="91" t="s">
        <v>326</v>
      </c>
      <c r="E249" s="92">
        <v>1</v>
      </c>
      <c r="F249" s="92">
        <v>1</v>
      </c>
      <c r="G249" s="92" t="e">
        <v>#DIV/0!</v>
      </c>
      <c r="H249" s="93">
        <v>3.33333333333333</v>
      </c>
      <c r="I249" s="93">
        <v>0.916666666666667</v>
      </c>
      <c r="J249" s="93">
        <v>0</v>
      </c>
      <c r="K249" s="94">
        <v>6</v>
      </c>
      <c r="L249" s="23">
        <v>2</v>
      </c>
      <c r="M249" s="94">
        <v>1</v>
      </c>
      <c r="N249" s="90"/>
      <c r="O249">
        <f t="shared" si="3"/>
        <v>20</v>
      </c>
    </row>
    <row r="250" spans="1:15">
      <c r="A250" s="90"/>
      <c r="B250" s="90"/>
      <c r="C250" s="90"/>
      <c r="D250" s="91"/>
      <c r="E250" s="92"/>
      <c r="F250" s="92"/>
      <c r="G250" s="92"/>
      <c r="H250" s="93"/>
      <c r="I250" s="93"/>
      <c r="J250" s="93"/>
      <c r="K250" s="90"/>
      <c r="L250" s="90"/>
      <c r="M250" s="90"/>
      <c r="N250" s="90"/>
      <c r="O250">
        <f t="shared" si="3"/>
        <v>0</v>
      </c>
    </row>
    <row r="251" spans="1:15">
      <c r="A251" s="95">
        <v>248</v>
      </c>
      <c r="B251" s="95" t="s">
        <v>22</v>
      </c>
      <c r="C251" s="96" t="s">
        <v>327</v>
      </c>
      <c r="D251" s="96" t="s">
        <v>328</v>
      </c>
      <c r="E251" s="97">
        <v>1</v>
      </c>
      <c r="F251" s="97">
        <v>0.931034482758621</v>
      </c>
      <c r="G251" s="97" t="e">
        <v>#DIV/0!</v>
      </c>
      <c r="H251" s="98">
        <v>4.91666666666667</v>
      </c>
      <c r="I251" s="98">
        <v>2.41666666666667</v>
      </c>
      <c r="J251" s="98">
        <v>0</v>
      </c>
      <c r="K251" s="100" t="s">
        <v>148</v>
      </c>
      <c r="L251" s="100" t="s">
        <v>148</v>
      </c>
      <c r="M251" s="100" t="s">
        <v>142</v>
      </c>
      <c r="N251" s="95"/>
      <c r="O251">
        <f t="shared" si="3"/>
        <v>40</v>
      </c>
    </row>
    <row r="252" spans="1:15">
      <c r="A252" s="90">
        <v>249</v>
      </c>
      <c r="B252" s="90" t="s">
        <v>22</v>
      </c>
      <c r="C252" s="91" t="s">
        <v>327</v>
      </c>
      <c r="D252" s="91" t="s">
        <v>329</v>
      </c>
      <c r="E252" s="92">
        <v>0.708333333333333</v>
      </c>
      <c r="F252" s="92">
        <v>1.33333333333333</v>
      </c>
      <c r="G252" s="92" t="e">
        <v>#DIV/0!</v>
      </c>
      <c r="H252" s="93">
        <v>6</v>
      </c>
      <c r="I252" s="93">
        <v>2</v>
      </c>
      <c r="J252" s="93">
        <v>0</v>
      </c>
      <c r="K252" s="101" t="s">
        <v>148</v>
      </c>
      <c r="L252" s="101" t="s">
        <v>148</v>
      </c>
      <c r="M252" s="101" t="s">
        <v>142</v>
      </c>
      <c r="N252" s="90"/>
      <c r="O252">
        <f t="shared" si="3"/>
        <v>40</v>
      </c>
    </row>
    <row r="253" spans="1:15">
      <c r="A253" s="95">
        <v>250</v>
      </c>
      <c r="B253" s="95" t="s">
        <v>22</v>
      </c>
      <c r="C253" s="96" t="s">
        <v>327</v>
      </c>
      <c r="D253" s="96" t="s">
        <v>330</v>
      </c>
      <c r="E253" s="97">
        <v>0.868421052631579</v>
      </c>
      <c r="F253" s="97">
        <v>0.962962962962963</v>
      </c>
      <c r="G253" s="97" t="e">
        <v>#DIV/0!</v>
      </c>
      <c r="H253" s="98">
        <v>3.16666666666667</v>
      </c>
      <c r="I253" s="98">
        <v>2.25</v>
      </c>
      <c r="J253" s="98">
        <v>0</v>
      </c>
      <c r="K253" s="100" t="s">
        <v>148</v>
      </c>
      <c r="L253" s="100" t="s">
        <v>331</v>
      </c>
      <c r="M253" s="100" t="s">
        <v>142</v>
      </c>
      <c r="N253" s="95"/>
      <c r="O253">
        <f t="shared" si="3"/>
        <v>20</v>
      </c>
    </row>
    <row r="254" spans="1:15">
      <c r="A254" s="90">
        <v>251</v>
      </c>
      <c r="B254" s="90" t="s">
        <v>22</v>
      </c>
      <c r="C254" s="91" t="s">
        <v>327</v>
      </c>
      <c r="D254" s="91" t="s">
        <v>332</v>
      </c>
      <c r="E254" s="92">
        <v>0.730769230769231</v>
      </c>
      <c r="F254" s="92">
        <v>0.692307692307692</v>
      </c>
      <c r="G254" s="92" t="e">
        <v>#DIV/0!</v>
      </c>
      <c r="H254" s="93">
        <v>2.16666666666667</v>
      </c>
      <c r="I254" s="93">
        <v>2.16666666666667</v>
      </c>
      <c r="J254" s="93">
        <v>0</v>
      </c>
      <c r="K254" s="101" t="s">
        <v>148</v>
      </c>
      <c r="L254" s="101" t="s">
        <v>331</v>
      </c>
      <c r="M254" s="101" t="s">
        <v>142</v>
      </c>
      <c r="N254" s="90"/>
      <c r="O254">
        <f t="shared" si="3"/>
        <v>20</v>
      </c>
    </row>
    <row r="255" spans="1:15">
      <c r="A255" s="95">
        <v>252</v>
      </c>
      <c r="B255" s="95" t="s">
        <v>22</v>
      </c>
      <c r="C255" s="96" t="s">
        <v>327</v>
      </c>
      <c r="D255" s="96" t="s">
        <v>333</v>
      </c>
      <c r="E255" s="97">
        <v>0.909090909090909</v>
      </c>
      <c r="F255" s="97">
        <v>0.91304347826087</v>
      </c>
      <c r="G255" s="97" t="e">
        <v>#DIV/0!</v>
      </c>
      <c r="H255" s="98">
        <v>3.66666666666667</v>
      </c>
      <c r="I255" s="98">
        <v>1.91666666666667</v>
      </c>
      <c r="J255" s="98">
        <v>0</v>
      </c>
      <c r="K255" s="100" t="s">
        <v>148</v>
      </c>
      <c r="L255" s="100" t="s">
        <v>331</v>
      </c>
      <c r="M255" s="100" t="s">
        <v>142</v>
      </c>
      <c r="N255" s="95"/>
      <c r="O255">
        <f t="shared" si="3"/>
        <v>20</v>
      </c>
    </row>
    <row r="256" spans="1:15">
      <c r="A256" s="90">
        <v>253</v>
      </c>
      <c r="B256" s="90" t="s">
        <v>22</v>
      </c>
      <c r="C256" s="91" t="s">
        <v>327</v>
      </c>
      <c r="D256" s="91" t="s">
        <v>334</v>
      </c>
      <c r="E256" s="92">
        <v>0.527272727272727</v>
      </c>
      <c r="F256" s="92">
        <v>0.529411764705882</v>
      </c>
      <c r="G256" s="92" t="e">
        <v>#DIV/0!</v>
      </c>
      <c r="H256" s="93">
        <v>4.58333333333333</v>
      </c>
      <c r="I256" s="93">
        <v>2.83333333333333</v>
      </c>
      <c r="J256" s="93">
        <v>0</v>
      </c>
      <c r="K256" s="101" t="s">
        <v>148</v>
      </c>
      <c r="L256" s="101" t="s">
        <v>148</v>
      </c>
      <c r="M256" s="101" t="s">
        <v>142</v>
      </c>
      <c r="N256" s="90"/>
      <c r="O256">
        <f t="shared" si="3"/>
        <v>40</v>
      </c>
    </row>
    <row r="257" spans="1:30">
      <c r="A257" s="95">
        <v>254</v>
      </c>
      <c r="B257" s="95" t="s">
        <v>22</v>
      </c>
      <c r="C257" s="96" t="s">
        <v>327</v>
      </c>
      <c r="D257" s="96" t="s">
        <v>335</v>
      </c>
      <c r="E257" s="97">
        <v>0.888888888888889</v>
      </c>
      <c r="F257" s="97">
        <v>0.772727272727273</v>
      </c>
      <c r="G257" s="97" t="e">
        <v>#DIV/0!</v>
      </c>
      <c r="H257" s="98">
        <v>3.75</v>
      </c>
      <c r="I257" s="98">
        <v>3.66666666666667</v>
      </c>
      <c r="J257" s="98">
        <v>0</v>
      </c>
      <c r="K257" s="100" t="s">
        <v>148</v>
      </c>
      <c r="L257" s="100" t="s">
        <v>331</v>
      </c>
      <c r="M257" s="100" t="s">
        <v>336</v>
      </c>
      <c r="N257" s="95"/>
      <c r="O257">
        <f t="shared" si="3"/>
        <v>20</v>
      </c>
    </row>
    <row r="258" spans="1:30">
      <c r="A258" s="90">
        <v>255</v>
      </c>
      <c r="B258" s="90" t="s">
        <v>22</v>
      </c>
      <c r="C258" s="91" t="s">
        <v>327</v>
      </c>
      <c r="D258" s="91" t="s">
        <v>337</v>
      </c>
      <c r="E258" s="92">
        <v>0.810810810810811</v>
      </c>
      <c r="F258" s="92">
        <v>0.789473684210526</v>
      </c>
      <c r="G258" s="92">
        <v>0.5</v>
      </c>
      <c r="H258" s="93">
        <v>3.08333333333333</v>
      </c>
      <c r="I258" s="93">
        <v>3.16666666666667</v>
      </c>
      <c r="J258" s="93">
        <v>0.166666666666667</v>
      </c>
      <c r="K258" s="101" t="s">
        <v>148</v>
      </c>
      <c r="L258" s="101" t="s">
        <v>331</v>
      </c>
      <c r="M258" s="101" t="s">
        <v>336</v>
      </c>
      <c r="N258" s="90"/>
      <c r="O258">
        <f t="shared" si="3"/>
        <v>20</v>
      </c>
    </row>
    <row r="259" spans="1:30">
      <c r="A259" s="95">
        <v>256</v>
      </c>
      <c r="B259" s="95" t="s">
        <v>22</v>
      </c>
      <c r="C259" s="96" t="s">
        <v>327</v>
      </c>
      <c r="D259" s="96" t="s">
        <v>338</v>
      </c>
      <c r="E259" s="97">
        <v>0.96</v>
      </c>
      <c r="F259" s="97">
        <v>0.8</v>
      </c>
      <c r="G259" s="97" t="e">
        <v>#DIV/0!</v>
      </c>
      <c r="H259" s="98">
        <v>4.16666666666667</v>
      </c>
      <c r="I259" s="98">
        <v>3.75</v>
      </c>
      <c r="J259" s="98">
        <v>0</v>
      </c>
      <c r="K259" s="100" t="s">
        <v>148</v>
      </c>
      <c r="L259" s="100" t="s">
        <v>331</v>
      </c>
      <c r="M259" s="100" t="s">
        <v>142</v>
      </c>
      <c r="N259" s="95"/>
      <c r="O259">
        <f t="shared" si="3"/>
        <v>20</v>
      </c>
    </row>
    <row r="260" spans="1:30">
      <c r="A260" s="90">
        <v>257</v>
      </c>
      <c r="B260" s="90" t="s">
        <v>22</v>
      </c>
      <c r="C260" s="91" t="s">
        <v>327</v>
      </c>
      <c r="D260" s="91" t="s">
        <v>339</v>
      </c>
      <c r="E260" s="92">
        <v>0.909090909090909</v>
      </c>
      <c r="F260" s="92">
        <v>0.909090909090909</v>
      </c>
      <c r="G260" s="92" t="e">
        <v>#DIV/0!</v>
      </c>
      <c r="H260" s="93">
        <v>3.66666666666667</v>
      </c>
      <c r="I260" s="93">
        <v>3.66666666666667</v>
      </c>
      <c r="J260" s="93">
        <v>0</v>
      </c>
      <c r="K260" s="101" t="s">
        <v>148</v>
      </c>
      <c r="L260" s="101" t="s">
        <v>148</v>
      </c>
      <c r="M260" s="101" t="s">
        <v>142</v>
      </c>
      <c r="N260" s="90"/>
      <c r="O260">
        <f t="shared" ref="O260:O292" si="4">L260*10</f>
        <v>40</v>
      </c>
    </row>
    <row r="261" spans="1:30">
      <c r="A261" s="95">
        <v>258</v>
      </c>
      <c r="B261" s="95" t="s">
        <v>22</v>
      </c>
      <c r="C261" s="96" t="s">
        <v>327</v>
      </c>
      <c r="D261" s="96" t="s">
        <v>340</v>
      </c>
      <c r="E261" s="97">
        <v>1.04545454545455</v>
      </c>
      <c r="F261" s="97">
        <v>1.03448275862069</v>
      </c>
      <c r="G261" s="97" t="e">
        <v>#DIV/0!</v>
      </c>
      <c r="H261" s="98">
        <v>1.83333333333333</v>
      </c>
      <c r="I261" s="98">
        <v>2.41666666666667</v>
      </c>
      <c r="J261" s="98">
        <v>0</v>
      </c>
      <c r="K261" s="100" t="s">
        <v>148</v>
      </c>
      <c r="L261" s="100" t="s">
        <v>141</v>
      </c>
      <c r="M261" s="100" t="s">
        <v>336</v>
      </c>
      <c r="N261" s="95"/>
      <c r="O261">
        <f t="shared" si="4"/>
        <v>30</v>
      </c>
    </row>
    <row r="262" spans="1:30">
      <c r="A262" s="90">
        <v>259</v>
      </c>
      <c r="B262" s="90" t="s">
        <v>22</v>
      </c>
      <c r="C262" s="91" t="s">
        <v>327</v>
      </c>
      <c r="D262" s="91" t="s">
        <v>341</v>
      </c>
      <c r="E262" s="92">
        <v>0.622950819672131</v>
      </c>
      <c r="F262" s="92">
        <v>0.622950819672131</v>
      </c>
      <c r="G262" s="92" t="e">
        <v>#DIV/0!</v>
      </c>
      <c r="H262" s="93">
        <v>5.08333333333333</v>
      </c>
      <c r="I262" s="93">
        <v>5.08333333333333</v>
      </c>
      <c r="J262" s="93">
        <v>0</v>
      </c>
      <c r="K262" s="101" t="s">
        <v>148</v>
      </c>
      <c r="L262" s="101" t="s">
        <v>148</v>
      </c>
      <c r="M262" s="101" t="s">
        <v>142</v>
      </c>
      <c r="N262" s="90"/>
      <c r="O262">
        <f t="shared" si="4"/>
        <v>40</v>
      </c>
    </row>
    <row r="263" spans="1:30">
      <c r="A263" s="95">
        <v>260</v>
      </c>
      <c r="B263" s="95" t="s">
        <v>22</v>
      </c>
      <c r="C263" s="96" t="s">
        <v>327</v>
      </c>
      <c r="D263" s="96" t="s">
        <v>342</v>
      </c>
      <c r="E263" s="97">
        <v>1</v>
      </c>
      <c r="F263" s="97">
        <v>0.8125</v>
      </c>
      <c r="G263" s="97" t="e">
        <v>#DIV/0!</v>
      </c>
      <c r="H263" s="98">
        <v>4</v>
      </c>
      <c r="I263" s="98">
        <v>4</v>
      </c>
      <c r="J263" s="98">
        <v>0</v>
      </c>
      <c r="K263" s="100" t="s">
        <v>148</v>
      </c>
      <c r="L263" s="100" t="s">
        <v>331</v>
      </c>
      <c r="M263" s="100" t="s">
        <v>142</v>
      </c>
      <c r="N263" s="95"/>
      <c r="O263">
        <f t="shared" si="4"/>
        <v>20</v>
      </c>
    </row>
    <row r="264" spans="1:30">
      <c r="A264" s="90">
        <v>261</v>
      </c>
      <c r="B264" s="90" t="s">
        <v>22</v>
      </c>
      <c r="C264" s="91" t="s">
        <v>327</v>
      </c>
      <c r="D264" s="91" t="s">
        <v>343</v>
      </c>
      <c r="E264" s="92">
        <v>0.895833333333333</v>
      </c>
      <c r="F264" s="92">
        <v>0.931818181818182</v>
      </c>
      <c r="G264" s="92" t="e">
        <v>#DIV/0!</v>
      </c>
      <c r="H264" s="93">
        <v>4</v>
      </c>
      <c r="I264" s="93">
        <v>3.66666666666667</v>
      </c>
      <c r="J264" s="93">
        <v>0</v>
      </c>
      <c r="K264" s="101" t="s">
        <v>148</v>
      </c>
      <c r="L264" s="101" t="s">
        <v>148</v>
      </c>
      <c r="M264" s="101" t="s">
        <v>142</v>
      </c>
      <c r="N264" s="90"/>
      <c r="O264">
        <f t="shared" si="4"/>
        <v>40</v>
      </c>
    </row>
    <row r="265" spans="1:30">
      <c r="A265" s="95">
        <v>262</v>
      </c>
      <c r="B265" s="95" t="s">
        <v>22</v>
      </c>
      <c r="C265" s="96" t="s">
        <v>327</v>
      </c>
      <c r="D265" s="96" t="s">
        <v>344</v>
      </c>
      <c r="E265" s="97">
        <v>0.862068965517241</v>
      </c>
      <c r="F265" s="97">
        <v>0.867924528301887</v>
      </c>
      <c r="G265" s="97">
        <v>0.333333333333333</v>
      </c>
      <c r="H265" s="98">
        <v>2.41666666666667</v>
      </c>
      <c r="I265" s="98">
        <v>4.41666666666667</v>
      </c>
      <c r="J265" s="98">
        <v>0.5</v>
      </c>
      <c r="K265" s="100" t="s">
        <v>148</v>
      </c>
      <c r="L265" s="100" t="s">
        <v>141</v>
      </c>
      <c r="M265" s="100" t="s">
        <v>336</v>
      </c>
      <c r="N265" s="95"/>
      <c r="O265">
        <f t="shared" si="4"/>
        <v>30</v>
      </c>
    </row>
    <row r="266" spans="1:30">
      <c r="A266" s="90">
        <v>263</v>
      </c>
      <c r="B266" s="90" t="s">
        <v>22</v>
      </c>
      <c r="C266" s="91" t="s">
        <v>327</v>
      </c>
      <c r="D266" s="91" t="s">
        <v>345</v>
      </c>
      <c r="E266" s="92">
        <v>0.8</v>
      </c>
      <c r="F266" s="92">
        <v>0.653846153846154</v>
      </c>
      <c r="G266" s="92" t="e">
        <v>#DIV/0!</v>
      </c>
      <c r="H266" s="93">
        <v>3.75</v>
      </c>
      <c r="I266" s="93">
        <v>4.33333333333333</v>
      </c>
      <c r="J266" s="93">
        <v>0</v>
      </c>
      <c r="K266" s="101" t="s">
        <v>148</v>
      </c>
      <c r="L266" s="101" t="s">
        <v>148</v>
      </c>
      <c r="M266" s="101" t="s">
        <v>142</v>
      </c>
      <c r="N266" s="90"/>
      <c r="O266">
        <f t="shared" si="4"/>
        <v>40</v>
      </c>
    </row>
    <row r="267" spans="1:30">
      <c r="A267" s="95">
        <v>264</v>
      </c>
      <c r="B267" s="95" t="s">
        <v>22</v>
      </c>
      <c r="C267" s="96" t="s">
        <v>327</v>
      </c>
      <c r="D267" s="96" t="s">
        <v>346</v>
      </c>
      <c r="E267" s="97">
        <v>0.714285714285714</v>
      </c>
      <c r="F267" s="97">
        <v>0.666666666666667</v>
      </c>
      <c r="G267" s="97" t="e">
        <v>#DIV/0!</v>
      </c>
      <c r="H267" s="98">
        <v>4.66666666666667</v>
      </c>
      <c r="I267" s="98">
        <v>3.5</v>
      </c>
      <c r="J267" s="98">
        <v>0</v>
      </c>
      <c r="K267" s="100" t="s">
        <v>148</v>
      </c>
      <c r="L267" s="100" t="s">
        <v>141</v>
      </c>
      <c r="M267" s="100" t="s">
        <v>336</v>
      </c>
      <c r="N267" s="95"/>
      <c r="O267">
        <f t="shared" si="4"/>
        <v>30</v>
      </c>
    </row>
    <row r="268" spans="1:30">
      <c r="A268" s="90">
        <v>265</v>
      </c>
      <c r="B268" s="90" t="s">
        <v>22</v>
      </c>
      <c r="C268" s="91" t="s">
        <v>327</v>
      </c>
      <c r="D268" s="91" t="s">
        <v>347</v>
      </c>
      <c r="E268" s="92">
        <v>0.555555555555556</v>
      </c>
      <c r="F268" s="92">
        <v>0.555555555555556</v>
      </c>
      <c r="G268" s="92" t="e">
        <v>#DIV/0!</v>
      </c>
      <c r="H268" s="93">
        <v>3</v>
      </c>
      <c r="I268" s="93">
        <v>3</v>
      </c>
      <c r="J268" s="93">
        <v>0</v>
      </c>
      <c r="K268" s="101" t="s">
        <v>148</v>
      </c>
      <c r="L268" s="101" t="s">
        <v>331</v>
      </c>
      <c r="M268" s="101" t="s">
        <v>142</v>
      </c>
      <c r="N268" s="90"/>
      <c r="O268">
        <f t="shared" si="4"/>
        <v>20</v>
      </c>
    </row>
    <row r="269" spans="1:30">
      <c r="A269" s="95">
        <v>266</v>
      </c>
      <c r="B269" s="95" t="s">
        <v>22</v>
      </c>
      <c r="C269" s="96" t="s">
        <v>327</v>
      </c>
      <c r="D269" s="96" t="s">
        <v>348</v>
      </c>
      <c r="E269" s="97">
        <v>0.808510638297872</v>
      </c>
      <c r="F269" s="97">
        <v>0.761904761904762</v>
      </c>
      <c r="G269" s="97" t="e">
        <v>#DIV/0!</v>
      </c>
      <c r="H269" s="98">
        <v>3.91666666666667</v>
      </c>
      <c r="I269" s="98">
        <v>3.5</v>
      </c>
      <c r="J269" s="98">
        <v>0</v>
      </c>
      <c r="K269" s="100" t="s">
        <v>148</v>
      </c>
      <c r="L269" s="100" t="s">
        <v>331</v>
      </c>
      <c r="M269" s="100" t="s">
        <v>142</v>
      </c>
      <c r="N269" s="95"/>
      <c r="O269">
        <f t="shared" si="4"/>
        <v>20</v>
      </c>
    </row>
    <row r="270" ht="28" spans="1:30">
      <c r="A270" s="90">
        <v>267</v>
      </c>
      <c r="B270" s="90" t="s">
        <v>22</v>
      </c>
      <c r="C270" s="91" t="s">
        <v>327</v>
      </c>
      <c r="D270" s="91" t="s">
        <v>349</v>
      </c>
      <c r="E270" s="92">
        <v>0.80327868852459</v>
      </c>
      <c r="F270" s="92">
        <v>0.783783783783784</v>
      </c>
      <c r="G270" s="92" t="e">
        <v>#DIV/0!</v>
      </c>
      <c r="H270" s="93">
        <v>5.08333333333333</v>
      </c>
      <c r="I270" s="93">
        <v>3.08333333333333</v>
      </c>
      <c r="J270" s="93">
        <v>0</v>
      </c>
      <c r="K270" s="101" t="s">
        <v>148</v>
      </c>
      <c r="L270" s="101" t="s">
        <v>141</v>
      </c>
      <c r="M270" s="101" t="s">
        <v>142</v>
      </c>
      <c r="N270" s="90"/>
      <c r="O270">
        <f t="shared" si="4"/>
        <v>30</v>
      </c>
      <c r="W270" s="106" t="s">
        <v>379</v>
      </c>
      <c r="X270" s="106" t="s">
        <v>684</v>
      </c>
      <c r="Y270" s="106" t="s">
        <v>685</v>
      </c>
      <c r="Z270" s="106" t="s">
        <v>686</v>
      </c>
      <c r="AA270" s="106" t="s">
        <v>687</v>
      </c>
      <c r="AB270" s="106" t="s">
        <v>688</v>
      </c>
      <c r="AC270" s="106" t="s">
        <v>689</v>
      </c>
      <c r="AD270" s="106" t="s">
        <v>690</v>
      </c>
    </row>
    <row r="271" ht="28" spans="1:30">
      <c r="A271" s="90"/>
      <c r="B271" s="90"/>
      <c r="C271" s="90"/>
      <c r="D271" s="91"/>
      <c r="E271" s="92"/>
      <c r="F271" s="92"/>
      <c r="G271" s="92"/>
      <c r="H271" s="93"/>
      <c r="I271" s="93"/>
      <c r="J271" s="93"/>
      <c r="K271" s="90"/>
      <c r="L271" s="90"/>
      <c r="M271" s="90"/>
      <c r="N271" s="90"/>
      <c r="O271">
        <f t="shared" si="4"/>
        <v>0</v>
      </c>
      <c r="W271" s="107" t="s">
        <v>691</v>
      </c>
      <c r="X271" s="108">
        <v>480</v>
      </c>
      <c r="Y271" s="108">
        <v>625</v>
      </c>
      <c r="Z271" s="108">
        <v>465</v>
      </c>
      <c r="AA271" s="108">
        <v>493</v>
      </c>
      <c r="AB271" s="108">
        <v>583</v>
      </c>
      <c r="AC271" s="108">
        <v>609</v>
      </c>
      <c r="AD271" s="108">
        <v>3656</v>
      </c>
    </row>
    <row r="272" ht="28" spans="1:30">
      <c r="A272" s="95">
        <v>269</v>
      </c>
      <c r="B272" s="95" t="s">
        <v>137</v>
      </c>
      <c r="C272" s="96" t="s">
        <v>350</v>
      </c>
      <c r="D272" s="96" t="s">
        <v>351</v>
      </c>
      <c r="E272" s="97">
        <v>0.944444444444444</v>
      </c>
      <c r="F272" s="97">
        <v>1</v>
      </c>
      <c r="G272" s="97" t="e">
        <v>#DIV/0!</v>
      </c>
      <c r="H272" s="98">
        <v>9</v>
      </c>
      <c r="I272" s="98">
        <v>4</v>
      </c>
      <c r="J272" s="98">
        <v>0</v>
      </c>
      <c r="K272" s="109">
        <v>4</v>
      </c>
      <c r="L272" s="109">
        <v>3</v>
      </c>
      <c r="M272" s="109">
        <v>2</v>
      </c>
      <c r="N272" s="95"/>
      <c r="O272">
        <f t="shared" si="4"/>
        <v>30</v>
      </c>
      <c r="W272" s="107" t="s">
        <v>692</v>
      </c>
      <c r="X272" s="108">
        <v>253</v>
      </c>
      <c r="Y272" s="108">
        <v>176</v>
      </c>
      <c r="Z272" s="108">
        <v>269</v>
      </c>
      <c r="AA272" s="108">
        <v>245</v>
      </c>
      <c r="AB272" s="108">
        <v>260</v>
      </c>
      <c r="AC272" s="108">
        <v>311</v>
      </c>
      <c r="AD272" s="108">
        <v>4171</v>
      </c>
    </row>
    <row r="273" spans="1:30">
      <c r="A273" s="90">
        <v>270</v>
      </c>
      <c r="B273" s="90" t="s">
        <v>137</v>
      </c>
      <c r="C273" s="91" t="s">
        <v>350</v>
      </c>
      <c r="D273" s="91" t="s">
        <v>352</v>
      </c>
      <c r="E273" s="92">
        <v>0.82051282051282</v>
      </c>
      <c r="F273" s="92">
        <v>0.741935483870968</v>
      </c>
      <c r="G273" s="92" t="e">
        <v>#DIV/0!</v>
      </c>
      <c r="H273" s="93">
        <v>6.5</v>
      </c>
      <c r="I273" s="93">
        <v>2.58333333333333</v>
      </c>
      <c r="J273" s="93">
        <v>0</v>
      </c>
      <c r="K273" s="110">
        <v>4</v>
      </c>
      <c r="L273" s="110">
        <v>1</v>
      </c>
      <c r="M273" s="110">
        <v>0</v>
      </c>
      <c r="N273" s="90"/>
      <c r="O273">
        <f t="shared" si="4"/>
        <v>10</v>
      </c>
      <c r="W273" s="107" t="s">
        <v>693</v>
      </c>
      <c r="X273" s="108">
        <v>36</v>
      </c>
      <c r="Y273" s="108">
        <v>45</v>
      </c>
      <c r="Z273" s="108">
        <v>51</v>
      </c>
      <c r="AA273" s="108">
        <v>49</v>
      </c>
      <c r="AB273" s="108">
        <v>69</v>
      </c>
      <c r="AC273" s="108">
        <v>39</v>
      </c>
      <c r="AD273" s="108">
        <v>44</v>
      </c>
    </row>
    <row r="274" spans="1:30">
      <c r="A274" s="95">
        <v>271</v>
      </c>
      <c r="B274" s="95" t="s">
        <v>137</v>
      </c>
      <c r="C274" s="96" t="s">
        <v>350</v>
      </c>
      <c r="D274" s="96" t="s">
        <v>353</v>
      </c>
      <c r="E274" s="97">
        <v>0.961038961038961</v>
      </c>
      <c r="F274" s="97">
        <v>1</v>
      </c>
      <c r="G274" s="97" t="e">
        <v>#DIV/0!</v>
      </c>
      <c r="H274" s="98">
        <v>6.41666666666667</v>
      </c>
      <c r="I274" s="98">
        <v>2.75</v>
      </c>
      <c r="J274" s="98">
        <v>0</v>
      </c>
      <c r="K274" s="109">
        <v>4</v>
      </c>
      <c r="L274" s="109">
        <v>2</v>
      </c>
      <c r="M274" s="109">
        <v>2</v>
      </c>
      <c r="N274" s="95"/>
      <c r="O274">
        <f t="shared" si="4"/>
        <v>20</v>
      </c>
      <c r="W274" s="107" t="s">
        <v>694</v>
      </c>
      <c r="X274" s="108">
        <v>124</v>
      </c>
      <c r="Y274" s="108">
        <v>136</v>
      </c>
      <c r="Z274" s="108">
        <v>145</v>
      </c>
      <c r="AA274" s="108">
        <v>149</v>
      </c>
      <c r="AB274" s="108">
        <v>160</v>
      </c>
      <c r="AC274" s="108">
        <v>126</v>
      </c>
      <c r="AD274" s="108">
        <v>250</v>
      </c>
    </row>
    <row r="275" spans="1:30">
      <c r="A275" s="90">
        <v>272</v>
      </c>
      <c r="B275" s="90" t="s">
        <v>137</v>
      </c>
      <c r="C275" s="91" t="s">
        <v>350</v>
      </c>
      <c r="D275" s="91" t="s">
        <v>354</v>
      </c>
      <c r="E275" s="92">
        <v>0.905882352941176</v>
      </c>
      <c r="F275" s="92">
        <v>1</v>
      </c>
      <c r="G275" s="92" t="e">
        <v>#DIV/0!</v>
      </c>
      <c r="H275" s="93">
        <v>7.08333333333333</v>
      </c>
      <c r="I275" s="93">
        <v>1.33333333333333</v>
      </c>
      <c r="J275" s="93">
        <v>0</v>
      </c>
      <c r="K275" s="110">
        <v>6</v>
      </c>
      <c r="L275" s="110">
        <v>2</v>
      </c>
      <c r="M275" s="110">
        <v>2</v>
      </c>
      <c r="N275" s="90"/>
      <c r="O275">
        <f t="shared" si="4"/>
        <v>20</v>
      </c>
      <c r="W275" s="107" t="s">
        <v>695</v>
      </c>
      <c r="X275" s="108">
        <v>2</v>
      </c>
      <c r="Y275" s="108">
        <v>3</v>
      </c>
      <c r="Z275" s="108">
        <v>3</v>
      </c>
      <c r="AA275" s="108">
        <v>4</v>
      </c>
      <c r="AB275" s="108">
        <v>3</v>
      </c>
      <c r="AC275" s="108">
        <v>3</v>
      </c>
      <c r="AD275" s="108">
        <v>3</v>
      </c>
    </row>
    <row r="276" ht="28" spans="1:30">
      <c r="A276" s="95">
        <v>273</v>
      </c>
      <c r="B276" s="95" t="s">
        <v>137</v>
      </c>
      <c r="C276" s="96" t="s">
        <v>350</v>
      </c>
      <c r="D276" s="96" t="s">
        <v>355</v>
      </c>
      <c r="E276" s="97">
        <v>0.78125</v>
      </c>
      <c r="F276" s="97">
        <v>1</v>
      </c>
      <c r="G276" s="97" t="e">
        <v>#DIV/0!</v>
      </c>
      <c r="H276" s="98">
        <v>8</v>
      </c>
      <c r="I276" s="98">
        <v>4.08333333333333</v>
      </c>
      <c r="J276" s="98">
        <v>0</v>
      </c>
      <c r="K276" s="109">
        <v>5</v>
      </c>
      <c r="L276" s="109">
        <v>3</v>
      </c>
      <c r="M276" s="109">
        <v>2</v>
      </c>
      <c r="N276" s="95"/>
      <c r="O276">
        <f t="shared" si="4"/>
        <v>30</v>
      </c>
      <c r="W276" s="107" t="s">
        <v>696</v>
      </c>
      <c r="X276" s="108">
        <v>474</v>
      </c>
      <c r="Y276" s="108">
        <v>714</v>
      </c>
      <c r="Z276" s="108">
        <v>444</v>
      </c>
      <c r="AA276" s="108">
        <v>405</v>
      </c>
      <c r="AB276" s="108">
        <v>671</v>
      </c>
      <c r="AC276" s="108">
        <v>207</v>
      </c>
      <c r="AD276" s="108">
        <v>1602</v>
      </c>
    </row>
    <row r="277" spans="1:30">
      <c r="A277" s="90">
        <v>274</v>
      </c>
      <c r="B277" s="90" t="s">
        <v>137</v>
      </c>
      <c r="C277" s="91" t="s">
        <v>350</v>
      </c>
      <c r="D277" s="91" t="s">
        <v>356</v>
      </c>
      <c r="E277" s="92">
        <v>0.938461538461538</v>
      </c>
      <c r="F277" s="92">
        <v>0.972222222222222</v>
      </c>
      <c r="G277" s="92">
        <v>0</v>
      </c>
      <c r="H277" s="93">
        <v>5.41666666666667</v>
      </c>
      <c r="I277" s="93">
        <v>3</v>
      </c>
      <c r="J277" s="93">
        <v>0.75</v>
      </c>
      <c r="K277" s="110">
        <v>4</v>
      </c>
      <c r="L277" s="110">
        <v>3</v>
      </c>
      <c r="M277" s="110">
        <v>1</v>
      </c>
      <c r="N277" s="90"/>
      <c r="O277">
        <f t="shared" si="4"/>
        <v>30</v>
      </c>
      <c r="W277" s="107" t="s">
        <v>697</v>
      </c>
      <c r="X277" s="108">
        <v>2667</v>
      </c>
      <c r="Y277" s="108">
        <v>2573</v>
      </c>
      <c r="Z277" s="108">
        <v>3704</v>
      </c>
      <c r="AA277" s="108">
        <v>2640</v>
      </c>
      <c r="AB277" s="108">
        <v>2877</v>
      </c>
      <c r="AC277" s="108">
        <v>2817</v>
      </c>
      <c r="AD277" s="108">
        <v>5412</v>
      </c>
    </row>
    <row r="278" spans="1:30">
      <c r="A278" s="95">
        <v>275</v>
      </c>
      <c r="B278" s="95" t="s">
        <v>137</v>
      </c>
      <c r="C278" s="96" t="s">
        <v>350</v>
      </c>
      <c r="D278" s="96" t="s">
        <v>357</v>
      </c>
      <c r="E278" s="97">
        <v>1</v>
      </c>
      <c r="F278" s="97">
        <v>1.02127659574468</v>
      </c>
      <c r="G278" s="97" t="e">
        <v>#DIV/0!</v>
      </c>
      <c r="H278" s="98">
        <v>6.83333333333333</v>
      </c>
      <c r="I278" s="98">
        <v>3.91666666666667</v>
      </c>
      <c r="J278" s="98">
        <v>0</v>
      </c>
      <c r="K278" s="109">
        <v>4</v>
      </c>
      <c r="L278" s="109">
        <v>4</v>
      </c>
      <c r="M278" s="109">
        <v>1</v>
      </c>
      <c r="N278" s="95"/>
      <c r="O278">
        <f t="shared" si="4"/>
        <v>40</v>
      </c>
    </row>
    <row r="279" spans="1:30">
      <c r="A279" s="90">
        <v>276</v>
      </c>
      <c r="B279" s="90" t="s">
        <v>137</v>
      </c>
      <c r="C279" s="91" t="s">
        <v>350</v>
      </c>
      <c r="D279" s="91" t="s">
        <v>358</v>
      </c>
      <c r="E279" s="92">
        <v>0.972222222222222</v>
      </c>
      <c r="F279" s="92">
        <v>1.07692307692308</v>
      </c>
      <c r="G279" s="92" t="e">
        <v>#DIV/0!</v>
      </c>
      <c r="H279" s="93">
        <v>3</v>
      </c>
      <c r="I279" s="93">
        <v>1.08333333333333</v>
      </c>
      <c r="J279" s="93">
        <v>0</v>
      </c>
      <c r="K279" s="110">
        <v>5</v>
      </c>
      <c r="L279" s="110">
        <v>3</v>
      </c>
      <c r="M279" s="110">
        <v>0</v>
      </c>
      <c r="N279" s="90"/>
      <c r="O279">
        <f t="shared" si="4"/>
        <v>30</v>
      </c>
    </row>
    <row r="280" spans="1:30">
      <c r="A280" s="95">
        <v>277</v>
      </c>
      <c r="B280" s="95" t="s">
        <v>137</v>
      </c>
      <c r="C280" s="96" t="s">
        <v>350</v>
      </c>
      <c r="D280" s="96" t="s">
        <v>359</v>
      </c>
      <c r="E280" s="97">
        <v>1</v>
      </c>
      <c r="F280" s="97">
        <v>1</v>
      </c>
      <c r="G280" s="97">
        <v>0</v>
      </c>
      <c r="H280" s="98">
        <v>7.25</v>
      </c>
      <c r="I280" s="98">
        <v>1.66666666666667</v>
      </c>
      <c r="J280" s="98">
        <v>0.166666666666667</v>
      </c>
      <c r="K280" s="109">
        <v>4</v>
      </c>
      <c r="L280" s="109">
        <v>1</v>
      </c>
      <c r="M280" s="109">
        <v>0</v>
      </c>
      <c r="N280" s="95"/>
      <c r="O280">
        <f t="shared" si="4"/>
        <v>10</v>
      </c>
    </row>
    <row r="281" spans="1:30">
      <c r="A281" s="90">
        <v>278</v>
      </c>
      <c r="B281" s="90" t="s">
        <v>137</v>
      </c>
      <c r="C281" s="91" t="s">
        <v>350</v>
      </c>
      <c r="D281" s="91" t="s">
        <v>360</v>
      </c>
      <c r="E281" s="92">
        <v>0.827586206896552</v>
      </c>
      <c r="F281" s="92">
        <v>0.823529411764706</v>
      </c>
      <c r="G281" s="92" t="e">
        <v>#DIV/0!</v>
      </c>
      <c r="H281" s="93">
        <v>4.83333333333333</v>
      </c>
      <c r="I281" s="93">
        <v>2.83333333333333</v>
      </c>
      <c r="J281" s="93">
        <v>0</v>
      </c>
      <c r="K281" s="110">
        <v>4</v>
      </c>
      <c r="L281" s="110">
        <v>1</v>
      </c>
      <c r="M281" s="110">
        <v>2</v>
      </c>
      <c r="N281" s="90"/>
      <c r="O281">
        <f t="shared" si="4"/>
        <v>10</v>
      </c>
    </row>
    <row r="282" spans="1:30">
      <c r="A282" s="95">
        <v>279</v>
      </c>
      <c r="B282" s="95" t="s">
        <v>137</v>
      </c>
      <c r="C282" s="96" t="s">
        <v>350</v>
      </c>
      <c r="D282" s="96" t="s">
        <v>361</v>
      </c>
      <c r="E282" s="97">
        <v>0.871559633027523</v>
      </c>
      <c r="F282" s="97">
        <v>0.672727272727273</v>
      </c>
      <c r="G282" s="97" t="e">
        <v>#DIV/0!</v>
      </c>
      <c r="H282" s="98">
        <v>9.08333333333333</v>
      </c>
      <c r="I282" s="98">
        <v>4.58333333333333</v>
      </c>
      <c r="J282" s="98">
        <v>0</v>
      </c>
      <c r="K282" s="109">
        <v>5</v>
      </c>
      <c r="L282" s="109">
        <v>1</v>
      </c>
      <c r="M282" s="109">
        <v>1</v>
      </c>
      <c r="N282" s="95"/>
      <c r="O282">
        <f t="shared" si="4"/>
        <v>10</v>
      </c>
    </row>
    <row r="283" spans="1:30">
      <c r="A283" s="90">
        <v>280</v>
      </c>
      <c r="B283" s="90" t="s">
        <v>137</v>
      </c>
      <c r="C283" s="91" t="s">
        <v>350</v>
      </c>
      <c r="D283" s="91" t="s">
        <v>362</v>
      </c>
      <c r="E283" s="92">
        <v>0.888888888888889</v>
      </c>
      <c r="F283" s="92">
        <v>0.808510638297872</v>
      </c>
      <c r="G283" s="92" t="e">
        <v>#DIV/0!</v>
      </c>
      <c r="H283" s="93">
        <v>6.75</v>
      </c>
      <c r="I283" s="93">
        <v>3.91666666666667</v>
      </c>
      <c r="J283" s="93">
        <v>0</v>
      </c>
      <c r="K283" s="110">
        <v>4</v>
      </c>
      <c r="L283" s="110">
        <v>1</v>
      </c>
      <c r="M283" s="110">
        <v>2</v>
      </c>
      <c r="N283" s="90"/>
      <c r="O283">
        <f t="shared" si="4"/>
        <v>10</v>
      </c>
    </row>
    <row r="284" spans="1:30">
      <c r="A284" s="95">
        <v>281</v>
      </c>
      <c r="B284" s="95" t="s">
        <v>137</v>
      </c>
      <c r="C284" s="96" t="s">
        <v>350</v>
      </c>
      <c r="D284" s="96" t="s">
        <v>363</v>
      </c>
      <c r="E284" s="97">
        <v>1</v>
      </c>
      <c r="F284" s="97">
        <v>1</v>
      </c>
      <c r="G284" s="97" t="e">
        <v>#DIV/0!</v>
      </c>
      <c r="H284" s="98">
        <v>3.66666666666667</v>
      </c>
      <c r="I284" s="98">
        <v>1.83333333333333</v>
      </c>
      <c r="J284" s="98">
        <v>0</v>
      </c>
      <c r="K284" s="109">
        <v>4</v>
      </c>
      <c r="L284" s="109">
        <v>3</v>
      </c>
      <c r="M284" s="109">
        <v>1</v>
      </c>
      <c r="N284" s="95"/>
      <c r="O284">
        <f t="shared" si="4"/>
        <v>30</v>
      </c>
    </row>
    <row r="285" spans="1:30">
      <c r="A285" s="90">
        <v>282</v>
      </c>
      <c r="B285" s="90" t="s">
        <v>137</v>
      </c>
      <c r="C285" s="91" t="s">
        <v>350</v>
      </c>
      <c r="D285" s="91" t="s">
        <v>364</v>
      </c>
      <c r="E285" s="92">
        <v>0.813559322033898</v>
      </c>
      <c r="F285" s="92">
        <v>0.710526315789474</v>
      </c>
      <c r="G285" s="92" t="e">
        <v>#DIV/0!</v>
      </c>
      <c r="H285" s="93">
        <v>4.91666666666667</v>
      </c>
      <c r="I285" s="93">
        <v>3.16666666666667</v>
      </c>
      <c r="J285" s="93">
        <v>0</v>
      </c>
      <c r="K285" s="110">
        <v>6</v>
      </c>
      <c r="L285" s="110">
        <v>2</v>
      </c>
      <c r="M285" s="110">
        <v>1</v>
      </c>
      <c r="N285" s="90"/>
      <c r="O285">
        <f t="shared" si="4"/>
        <v>20</v>
      </c>
    </row>
    <row r="286" spans="1:30">
      <c r="A286" s="95">
        <v>283</v>
      </c>
      <c r="B286" s="95" t="s">
        <v>137</v>
      </c>
      <c r="C286" s="96" t="s">
        <v>350</v>
      </c>
      <c r="D286" s="96" t="s">
        <v>365</v>
      </c>
      <c r="E286" s="97">
        <v>0.816666666666667</v>
      </c>
      <c r="F286" s="97">
        <v>0.555555555555556</v>
      </c>
      <c r="G286" s="97" t="e">
        <v>#DIV/0!</v>
      </c>
      <c r="H286" s="98">
        <v>10</v>
      </c>
      <c r="I286" s="98">
        <v>3.75</v>
      </c>
      <c r="J286" s="98">
        <v>0</v>
      </c>
      <c r="K286" s="109">
        <v>6</v>
      </c>
      <c r="L286" s="109">
        <v>2</v>
      </c>
      <c r="M286" s="109">
        <v>2</v>
      </c>
      <c r="N286" s="95"/>
      <c r="O286">
        <f t="shared" si="4"/>
        <v>20</v>
      </c>
    </row>
    <row r="287" spans="1:30">
      <c r="A287" s="90">
        <v>284</v>
      </c>
      <c r="B287" s="90" t="s">
        <v>137</v>
      </c>
      <c r="C287" s="91" t="s">
        <v>350</v>
      </c>
      <c r="D287" s="91" t="s">
        <v>366</v>
      </c>
      <c r="E287" s="92">
        <v>0.773584905660377</v>
      </c>
      <c r="F287" s="92">
        <v>0.625</v>
      </c>
      <c r="G287" s="92" t="e">
        <v>#DIV/0!</v>
      </c>
      <c r="H287" s="93">
        <v>4.41666666666667</v>
      </c>
      <c r="I287" s="93">
        <v>3.33333333333333</v>
      </c>
      <c r="J287" s="93">
        <v>0</v>
      </c>
      <c r="K287" s="110">
        <v>4</v>
      </c>
      <c r="L287" s="110">
        <v>2</v>
      </c>
      <c r="M287" s="110">
        <v>1</v>
      </c>
      <c r="N287" s="90"/>
      <c r="O287">
        <f t="shared" si="4"/>
        <v>20</v>
      </c>
    </row>
    <row r="288" spans="1:30">
      <c r="A288" s="95">
        <v>285</v>
      </c>
      <c r="B288" s="95" t="s">
        <v>137</v>
      </c>
      <c r="C288" s="96" t="s">
        <v>350</v>
      </c>
      <c r="D288" s="96" t="s">
        <v>367</v>
      </c>
      <c r="E288" s="97">
        <v>0.957142857142857</v>
      </c>
      <c r="F288" s="97">
        <v>0.873015873015873</v>
      </c>
      <c r="G288" s="97" t="e">
        <v>#DIV/0!</v>
      </c>
      <c r="H288" s="98">
        <v>11.6666666666667</v>
      </c>
      <c r="I288" s="98">
        <v>5.25</v>
      </c>
      <c r="J288" s="98">
        <v>0</v>
      </c>
      <c r="K288" s="109">
        <v>6</v>
      </c>
      <c r="L288" s="109">
        <v>3</v>
      </c>
      <c r="M288" s="109">
        <v>2</v>
      </c>
      <c r="N288" s="95"/>
      <c r="O288">
        <f t="shared" si="4"/>
        <v>30</v>
      </c>
    </row>
    <row r="289" spans="1:15">
      <c r="A289" s="90">
        <v>286</v>
      </c>
      <c r="B289" s="90" t="s">
        <v>137</v>
      </c>
      <c r="C289" s="91" t="s">
        <v>350</v>
      </c>
      <c r="D289" s="91" t="s">
        <v>368</v>
      </c>
      <c r="E289" s="92">
        <v>0.956521739130435</v>
      </c>
      <c r="F289" s="92">
        <v>0.916666666666667</v>
      </c>
      <c r="G289" s="92" t="e">
        <v>#DIV/0!</v>
      </c>
      <c r="H289" s="93">
        <v>5.75</v>
      </c>
      <c r="I289" s="93">
        <v>2</v>
      </c>
      <c r="J289" s="93">
        <v>0</v>
      </c>
      <c r="K289" s="110">
        <v>4</v>
      </c>
      <c r="L289" s="110">
        <v>1</v>
      </c>
      <c r="M289" s="110">
        <v>1</v>
      </c>
      <c r="N289" s="90"/>
      <c r="O289">
        <f t="shared" si="4"/>
        <v>10</v>
      </c>
    </row>
    <row r="290" spans="1:15">
      <c r="A290" s="95">
        <v>287</v>
      </c>
      <c r="B290" s="95" t="s">
        <v>137</v>
      </c>
      <c r="C290" s="96" t="s">
        <v>350</v>
      </c>
      <c r="D290" s="96" t="s">
        <v>369</v>
      </c>
      <c r="E290" s="97">
        <v>1</v>
      </c>
      <c r="F290" s="97">
        <v>0.916666666666667</v>
      </c>
      <c r="G290" s="97" t="e">
        <v>#DIV/0!</v>
      </c>
      <c r="H290" s="98">
        <v>7.16666666666667</v>
      </c>
      <c r="I290" s="98">
        <v>2</v>
      </c>
      <c r="J290" s="98">
        <v>0</v>
      </c>
      <c r="K290" s="109">
        <v>4</v>
      </c>
      <c r="L290" s="109">
        <v>4</v>
      </c>
      <c r="M290" s="109">
        <v>1</v>
      </c>
      <c r="N290" s="95"/>
      <c r="O290">
        <f t="shared" si="4"/>
        <v>40</v>
      </c>
    </row>
    <row r="291" spans="1:15">
      <c r="A291" s="90">
        <v>288</v>
      </c>
      <c r="B291" s="90" t="s">
        <v>137</v>
      </c>
      <c r="C291" s="91" t="s">
        <v>350</v>
      </c>
      <c r="D291" s="91" t="s">
        <v>370</v>
      </c>
      <c r="E291" s="92">
        <v>0.761904761904762</v>
      </c>
      <c r="F291" s="92">
        <v>0.9</v>
      </c>
      <c r="G291" s="92" t="e">
        <v>#DIV/0!</v>
      </c>
      <c r="H291" s="93">
        <v>7</v>
      </c>
      <c r="I291" s="93">
        <v>1.66666666666667</v>
      </c>
      <c r="J291" s="93">
        <v>0</v>
      </c>
      <c r="K291" s="110">
        <v>4</v>
      </c>
      <c r="L291" s="110">
        <v>2</v>
      </c>
      <c r="M291" s="110">
        <v>0</v>
      </c>
      <c r="N291" s="90"/>
      <c r="O291">
        <f t="shared" si="4"/>
        <v>20</v>
      </c>
    </row>
    <row r="292" spans="1:15">
      <c r="A292" s="95">
        <v>289</v>
      </c>
      <c r="B292" s="95" t="s">
        <v>137</v>
      </c>
      <c r="C292" s="96" t="s">
        <v>350</v>
      </c>
      <c r="D292" s="96" t="s">
        <v>371</v>
      </c>
      <c r="E292" s="97">
        <v>0.833333333333333</v>
      </c>
      <c r="F292" s="97">
        <v>0.76</v>
      </c>
      <c r="G292" s="97">
        <v>0.8</v>
      </c>
      <c r="H292" s="98">
        <v>3.5</v>
      </c>
      <c r="I292" s="98">
        <v>2.08333333333333</v>
      </c>
      <c r="J292" s="98">
        <v>0.416666666666667</v>
      </c>
      <c r="K292" s="109">
        <v>4</v>
      </c>
      <c r="L292" s="109">
        <v>2</v>
      </c>
      <c r="M292" s="109">
        <v>1</v>
      </c>
      <c r="N292" s="95"/>
      <c r="O292">
        <f t="shared" si="4"/>
        <v>20</v>
      </c>
    </row>
  </sheetData>
  <autoFilter xmlns:etc="http://www.wps.cn/officeDocument/2017/etCustomData" ref="A2:O292" etc:filterBottomFollowUsedRange="0">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O35"/>
  <sheetViews>
    <sheetView zoomScale="160" zoomScaleNormal="160" workbookViewId="0">
      <selection activeCell="B3" sqref="B3"/>
    </sheetView>
  </sheetViews>
  <sheetFormatPr defaultColWidth="8.90909090909091" defaultRowHeight="14.5"/>
  <cols>
    <col min="1" max="1" width="8.90909090909091" customWidth="1"/>
    <col min="2" max="2" width="63.1818181818182" customWidth="1"/>
    <col min="3" max="3" width="10.8181818181818" style="70"/>
    <col min="4" max="4" width="16.9090909090909" style="70" customWidth="1"/>
    <col min="5" max="5" width="10.8181818181818" style="70"/>
    <col min="6" max="6" width="17" style="70" customWidth="1"/>
  </cols>
  <sheetData>
    <row r="2" spans="1:15">
      <c r="A2" s="71" t="s">
        <v>698</v>
      </c>
      <c r="B2" s="71" t="s">
        <v>699</v>
      </c>
      <c r="C2" s="72" t="s">
        <v>700</v>
      </c>
      <c r="D2" s="72" t="s">
        <v>701</v>
      </c>
      <c r="E2" s="72" t="s">
        <v>702</v>
      </c>
      <c r="F2" s="72" t="s">
        <v>703</v>
      </c>
    </row>
    <row r="3" s="17" customFormat="1" ht="87" spans="1:15">
      <c r="A3" s="73" t="s">
        <v>704</v>
      </c>
      <c r="B3" s="74" t="s">
        <v>705</v>
      </c>
      <c r="C3" s="73" t="s">
        <v>478</v>
      </c>
      <c r="D3" s="73">
        <v>16929</v>
      </c>
      <c r="E3" s="73">
        <v>0</v>
      </c>
      <c r="F3" s="73"/>
      <c r="I3" s="75"/>
    </row>
    <row r="4" s="17" customFormat="1" ht="58" spans="1:15">
      <c r="A4" s="76">
        <v>1.15</v>
      </c>
      <c r="B4" s="77" t="s">
        <v>706</v>
      </c>
      <c r="C4" s="76" t="s">
        <v>478</v>
      </c>
      <c r="D4" s="78">
        <v>11287.5</v>
      </c>
      <c r="E4" s="78">
        <v>11287.5</v>
      </c>
      <c r="F4" s="76"/>
      <c r="I4" s="75"/>
    </row>
    <row r="5" s="17" customFormat="1" ht="43.5" spans="1:15">
      <c r="A5" s="73" t="s">
        <v>707</v>
      </c>
      <c r="B5" s="74" t="s">
        <v>708</v>
      </c>
      <c r="C5" s="73" t="s">
        <v>478</v>
      </c>
      <c r="D5" s="79">
        <v>9892.30769230769</v>
      </c>
      <c r="E5" s="79">
        <v>0</v>
      </c>
      <c r="F5" s="73"/>
    </row>
    <row r="6" s="17" customFormat="1" ht="43.5" spans="1:15">
      <c r="A6" s="76" t="s">
        <v>709</v>
      </c>
      <c r="B6" s="77" t="s">
        <v>710</v>
      </c>
      <c r="C6" s="76" t="s">
        <v>478</v>
      </c>
      <c r="D6" s="78">
        <v>10912.5</v>
      </c>
      <c r="E6" s="78">
        <v>0</v>
      </c>
      <c r="F6" s="76"/>
    </row>
    <row r="7" s="17" customFormat="1" ht="58" spans="1:15">
      <c r="A7" s="73" t="s">
        <v>711</v>
      </c>
      <c r="B7" s="74" t="s">
        <v>712</v>
      </c>
      <c r="C7" s="73" t="s">
        <v>478</v>
      </c>
      <c r="D7" s="79">
        <v>12477.7048611111</v>
      </c>
      <c r="E7" s="79">
        <v>12477.7048611111</v>
      </c>
      <c r="F7" s="73"/>
      <c r="O7" s="80"/>
    </row>
    <row r="8" s="17" customFormat="1" ht="58" spans="1:15">
      <c r="A8" s="76" t="s">
        <v>713</v>
      </c>
      <c r="B8" s="77" t="s">
        <v>714</v>
      </c>
      <c r="C8" s="76" t="s">
        <v>478</v>
      </c>
      <c r="D8" s="78">
        <v>3315.23809523809</v>
      </c>
      <c r="E8" s="78">
        <v>3315.23809523809</v>
      </c>
      <c r="F8" s="76"/>
    </row>
    <row r="9" s="17" customFormat="1" ht="29" spans="1:15">
      <c r="A9" s="73" t="s">
        <v>715</v>
      </c>
      <c r="B9" s="74" t="s">
        <v>716</v>
      </c>
      <c r="C9" s="73" t="s">
        <v>478</v>
      </c>
      <c r="D9" s="79">
        <v>1435.99608974359</v>
      </c>
      <c r="E9" s="79">
        <v>1435.99608974359</v>
      </c>
      <c r="F9" s="73"/>
    </row>
    <row r="10" s="17" customFormat="1" ht="101.5" spans="1:15">
      <c r="A10" s="76" t="s">
        <v>717</v>
      </c>
      <c r="B10" s="77" t="s">
        <v>718</v>
      </c>
      <c r="C10" s="76" t="s">
        <v>478</v>
      </c>
      <c r="D10" s="78">
        <v>1927.5</v>
      </c>
      <c r="E10" s="78">
        <v>1927.5</v>
      </c>
      <c r="F10" s="76"/>
    </row>
    <row r="11" s="17" customFormat="1" ht="58" spans="1:15">
      <c r="A11" s="73"/>
      <c r="B11" s="74" t="s">
        <v>719</v>
      </c>
      <c r="C11" s="73" t="s">
        <v>720</v>
      </c>
      <c r="D11" s="79">
        <v>1296.61538461538</v>
      </c>
      <c r="E11" s="79">
        <v>1296.61538461538</v>
      </c>
      <c r="F11" s="73"/>
    </row>
    <row r="12" s="17" customFormat="1" ht="58" spans="1:15">
      <c r="A12" s="76"/>
      <c r="B12" s="77" t="s">
        <v>719</v>
      </c>
      <c r="C12" s="76" t="s">
        <v>720</v>
      </c>
      <c r="D12" s="78">
        <v>4402.46153846154</v>
      </c>
      <c r="E12" s="78">
        <v>4402.46153846154</v>
      </c>
      <c r="F12" s="76"/>
    </row>
    <row r="13" s="17" customFormat="1" ht="29" spans="1:15">
      <c r="A13" s="73"/>
      <c r="B13" s="74" t="s">
        <v>721</v>
      </c>
      <c r="C13" s="73" t="s">
        <v>720</v>
      </c>
      <c r="D13" s="79">
        <v>11259</v>
      </c>
      <c r="E13" s="79">
        <v>11259</v>
      </c>
      <c r="F13" s="73"/>
    </row>
    <row r="14" s="17" customFormat="1" ht="87" spans="1:15">
      <c r="A14" s="76"/>
      <c r="B14" s="77" t="s">
        <v>722</v>
      </c>
      <c r="C14" s="76" t="s">
        <v>720</v>
      </c>
      <c r="D14" s="78">
        <v>2160</v>
      </c>
      <c r="E14" s="78">
        <v>2160</v>
      </c>
      <c r="F14" s="76"/>
    </row>
    <row r="15" s="17" customFormat="1" ht="87" spans="1:15">
      <c r="A15" s="73"/>
      <c r="B15" s="74" t="s">
        <v>722</v>
      </c>
      <c r="C15" s="73" t="s">
        <v>720</v>
      </c>
      <c r="D15" s="79">
        <v>3600</v>
      </c>
      <c r="E15" s="79">
        <v>3600</v>
      </c>
      <c r="F15" s="73"/>
    </row>
    <row r="16" s="17" customFormat="1" ht="72.5" spans="1:15">
      <c r="A16" s="76"/>
      <c r="B16" s="77" t="s">
        <v>723</v>
      </c>
      <c r="C16" s="76" t="s">
        <v>720</v>
      </c>
      <c r="D16" s="78">
        <v>972</v>
      </c>
      <c r="E16" s="78">
        <v>972</v>
      </c>
      <c r="F16" s="76"/>
    </row>
    <row r="17" s="17" customFormat="1" ht="58" spans="1:6">
      <c r="A17" s="73"/>
      <c r="B17" s="74" t="s">
        <v>724</v>
      </c>
      <c r="C17" s="73" t="s">
        <v>720</v>
      </c>
      <c r="D17" s="79">
        <v>11259</v>
      </c>
      <c r="E17" s="79">
        <v>11259</v>
      </c>
      <c r="F17" s="73"/>
    </row>
    <row r="18" s="17" customFormat="1" ht="29" spans="1:6">
      <c r="A18" s="76"/>
      <c r="B18" s="77" t="s">
        <v>725</v>
      </c>
      <c r="C18" s="76" t="s">
        <v>720</v>
      </c>
      <c r="D18" s="78">
        <v>2250</v>
      </c>
      <c r="E18" s="78">
        <v>2250</v>
      </c>
      <c r="F18" s="76"/>
    </row>
    <row r="19" s="17" customFormat="1" ht="29" spans="1:6">
      <c r="A19" s="73"/>
      <c r="B19" s="74" t="s">
        <v>726</v>
      </c>
      <c r="C19" s="73" t="s">
        <v>720</v>
      </c>
      <c r="D19" s="79">
        <v>0</v>
      </c>
      <c r="E19" s="79">
        <v>365</v>
      </c>
      <c r="F19" s="73"/>
    </row>
    <row r="20" s="17" customFormat="1" ht="29" spans="1:6">
      <c r="A20" s="76"/>
      <c r="B20" s="77" t="s">
        <v>726</v>
      </c>
      <c r="C20" s="76" t="s">
        <v>720</v>
      </c>
      <c r="D20" s="78">
        <v>0</v>
      </c>
      <c r="E20" s="78">
        <v>215</v>
      </c>
      <c r="F20" s="76"/>
    </row>
    <row r="21" s="17" customFormat="1" ht="29" spans="1:6">
      <c r="A21" s="73"/>
      <c r="B21" s="74" t="s">
        <v>726</v>
      </c>
      <c r="C21" s="73" t="s">
        <v>720</v>
      </c>
      <c r="D21" s="79">
        <v>0</v>
      </c>
      <c r="E21" s="79">
        <v>365</v>
      </c>
      <c r="F21" s="73"/>
    </row>
    <row r="22" s="17" customFormat="1" ht="29" spans="1:6">
      <c r="A22" s="76"/>
      <c r="B22" s="77" t="s">
        <v>726</v>
      </c>
      <c r="C22" s="76" t="s">
        <v>720</v>
      </c>
      <c r="D22" s="78">
        <v>0</v>
      </c>
      <c r="E22" s="78">
        <v>215</v>
      </c>
      <c r="F22" s="76"/>
    </row>
    <row r="23" s="17" customFormat="1" ht="43.5" spans="1:6">
      <c r="A23" s="73"/>
      <c r="B23" s="74" t="s">
        <v>727</v>
      </c>
      <c r="C23" s="73" t="s">
        <v>720</v>
      </c>
      <c r="D23" s="79">
        <v>0</v>
      </c>
      <c r="E23" s="79">
        <v>624</v>
      </c>
      <c r="F23" s="73"/>
    </row>
    <row r="24" s="17" customFormat="1" ht="43.5" spans="1:6">
      <c r="A24" s="76"/>
      <c r="B24" s="77" t="s">
        <v>727</v>
      </c>
      <c r="C24" s="76" t="s">
        <v>720</v>
      </c>
      <c r="D24" s="78">
        <v>0</v>
      </c>
      <c r="E24" s="78">
        <v>1032</v>
      </c>
      <c r="F24" s="76"/>
    </row>
    <row r="25" s="17" customFormat="1" ht="58" spans="1:6">
      <c r="A25" s="73"/>
      <c r="B25" s="74" t="s">
        <v>728</v>
      </c>
      <c r="C25" s="73" t="s">
        <v>720</v>
      </c>
      <c r="D25" s="79">
        <v>5004</v>
      </c>
      <c r="E25" s="79">
        <v>5004</v>
      </c>
      <c r="F25" s="73"/>
    </row>
    <row r="26" s="17" customFormat="1" ht="58" spans="1:6">
      <c r="A26" s="76"/>
      <c r="B26" s="77" t="s">
        <v>729</v>
      </c>
      <c r="C26" s="76" t="s">
        <v>720</v>
      </c>
      <c r="D26" s="78">
        <v>864</v>
      </c>
      <c r="E26" s="78">
        <v>864</v>
      </c>
      <c r="F26" s="76"/>
    </row>
    <row r="27" s="17" customFormat="1" ht="29" spans="1:6">
      <c r="A27" s="73"/>
      <c r="B27" s="74" t="s">
        <v>730</v>
      </c>
      <c r="C27" s="73" t="s">
        <v>720</v>
      </c>
      <c r="D27" s="79">
        <v>148</v>
      </c>
      <c r="E27" s="79">
        <v>148</v>
      </c>
      <c r="F27" s="73"/>
    </row>
    <row r="28" s="17" customFormat="1" ht="43.5" spans="1:6">
      <c r="A28" s="76"/>
      <c r="B28" s="77" t="s">
        <v>731</v>
      </c>
      <c r="C28" s="76" t="s">
        <v>720</v>
      </c>
      <c r="D28" s="78">
        <v>120</v>
      </c>
      <c r="E28" s="78">
        <v>120</v>
      </c>
      <c r="F28" s="76"/>
    </row>
    <row r="29" s="17" customFormat="1" ht="72.5" spans="1:6">
      <c r="A29" s="73"/>
      <c r="B29" s="74" t="s">
        <v>732</v>
      </c>
      <c r="C29" s="73" t="s">
        <v>720</v>
      </c>
      <c r="D29" s="79">
        <v>542.625</v>
      </c>
      <c r="E29" s="79">
        <v>542.625</v>
      </c>
      <c r="F29" s="73"/>
    </row>
    <row r="30" s="17" customFormat="1" ht="72.5" spans="1:6">
      <c r="A30" s="76"/>
      <c r="B30" s="77" t="s">
        <v>732</v>
      </c>
      <c r="C30" s="76" t="s">
        <v>720</v>
      </c>
      <c r="D30" s="78">
        <v>531.44</v>
      </c>
      <c r="E30" s="78">
        <v>531.44</v>
      </c>
      <c r="F30" s="76"/>
    </row>
    <row r="31" s="17" customFormat="1" ht="72.5" spans="1:6">
      <c r="A31" s="73"/>
      <c r="B31" s="74" t="s">
        <v>732</v>
      </c>
      <c r="C31" s="73" t="s">
        <v>720</v>
      </c>
      <c r="D31" s="79">
        <v>5256</v>
      </c>
      <c r="E31" s="79">
        <v>5256</v>
      </c>
      <c r="F31" s="73"/>
    </row>
    <row r="32" s="17" customFormat="1" ht="72.5" spans="1:6">
      <c r="A32" s="76"/>
      <c r="B32" s="77" t="s">
        <v>732</v>
      </c>
      <c r="C32" s="76" t="s">
        <v>720</v>
      </c>
      <c r="D32" s="78">
        <v>2064</v>
      </c>
      <c r="E32" s="78">
        <v>2064</v>
      </c>
      <c r="F32" s="76"/>
    </row>
    <row r="33" s="17" customFormat="1" ht="58" spans="1:6">
      <c r="A33" s="73"/>
      <c r="B33" s="74" t="s">
        <v>733</v>
      </c>
      <c r="C33" s="73" t="s">
        <v>720</v>
      </c>
      <c r="D33" s="79">
        <v>3000</v>
      </c>
      <c r="E33" s="79">
        <v>3000</v>
      </c>
      <c r="F33" s="73"/>
    </row>
    <row r="34" s="17" customFormat="1" ht="43.5" spans="1:6">
      <c r="A34" s="76"/>
      <c r="B34" s="77" t="s">
        <v>734</v>
      </c>
      <c r="C34" s="76" t="s">
        <v>720</v>
      </c>
      <c r="D34" s="78">
        <v>1788.5</v>
      </c>
      <c r="E34" s="78">
        <v>1788.5</v>
      </c>
      <c r="F34" s="76"/>
    </row>
    <row r="35" s="17" customFormat="1" ht="43.5" spans="1:6">
      <c r="A35" s="73"/>
      <c r="B35" s="74" t="s">
        <v>734</v>
      </c>
      <c r="C35" s="73" t="s">
        <v>720</v>
      </c>
      <c r="D35" s="79">
        <v>1053.5</v>
      </c>
      <c r="E35" s="79">
        <v>1053.5</v>
      </c>
      <c r="F35" s="73"/>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155"/>
  <sheetViews>
    <sheetView topLeftCell="A130" workbookViewId="0">
      <selection activeCell="I150" sqref="I150"/>
    </sheetView>
  </sheetViews>
  <sheetFormatPr defaultColWidth="8.90909090909091" defaultRowHeight="14.5"/>
  <cols>
    <col min="2" max="11" width="14.8181818181818" customWidth="1"/>
  </cols>
  <sheetData>
    <row r="2" spans="1:9">
      <c r="A2" s="52"/>
      <c r="B2" s="52"/>
      <c r="C2" s="52"/>
      <c r="D2" s="52"/>
      <c r="E2" s="52"/>
      <c r="F2" s="52"/>
      <c r="G2" s="52"/>
      <c r="H2" s="52"/>
      <c r="I2" s="52"/>
    </row>
    <row r="3" spans="1:9">
      <c r="A3" s="52"/>
      <c r="B3" s="53" t="s">
        <v>735</v>
      </c>
      <c r="C3" s="53"/>
      <c r="D3" s="53"/>
      <c r="E3" s="53"/>
      <c r="F3" s="53"/>
      <c r="G3" s="53"/>
      <c r="H3" s="53"/>
      <c r="I3" s="52"/>
    </row>
    <row r="4" spans="1:9">
      <c r="A4" s="52"/>
      <c r="B4" s="52"/>
      <c r="C4" s="52"/>
      <c r="D4" s="52"/>
      <c r="E4" s="52"/>
      <c r="F4" s="52"/>
      <c r="G4" s="52"/>
      <c r="H4" s="52"/>
      <c r="I4" s="52"/>
    </row>
    <row r="5" ht="58" spans="1:9">
      <c r="A5" s="54"/>
      <c r="B5" s="55" t="s">
        <v>1</v>
      </c>
      <c r="C5" s="56" t="s">
        <v>2</v>
      </c>
      <c r="D5" s="56" t="s">
        <v>736</v>
      </c>
      <c r="E5" s="56" t="s">
        <v>737</v>
      </c>
      <c r="F5" s="56" t="s">
        <v>738</v>
      </c>
      <c r="G5" s="56" t="s">
        <v>739</v>
      </c>
      <c r="H5" s="57" t="s">
        <v>740</v>
      </c>
    </row>
    <row r="6" spans="1:9">
      <c r="A6" s="52"/>
      <c r="B6" s="58" t="s">
        <v>22</v>
      </c>
      <c r="C6" s="59" t="s">
        <v>23</v>
      </c>
      <c r="D6" s="59">
        <v>16049</v>
      </c>
      <c r="E6" s="60">
        <v>8500.5581</v>
      </c>
      <c r="F6" s="59">
        <v>17538</v>
      </c>
      <c r="G6" s="59">
        <v>14673</v>
      </c>
      <c r="H6" s="61">
        <v>9084</v>
      </c>
    </row>
    <row r="7" spans="1:9">
      <c r="A7" s="52"/>
      <c r="B7" s="58" t="s">
        <v>22</v>
      </c>
      <c r="C7" s="59" t="s">
        <v>71</v>
      </c>
      <c r="D7" s="59">
        <v>2958</v>
      </c>
      <c r="E7" s="60">
        <v>13472.2376</v>
      </c>
      <c r="F7" s="59">
        <v>17146</v>
      </c>
      <c r="G7" s="59">
        <v>15997</v>
      </c>
      <c r="H7" s="61">
        <v>16106</v>
      </c>
    </row>
    <row r="8" spans="1:9">
      <c r="A8" s="52"/>
      <c r="B8" s="58" t="s">
        <v>22</v>
      </c>
      <c r="C8" s="59" t="s">
        <v>163</v>
      </c>
      <c r="D8" s="59">
        <v>12170</v>
      </c>
      <c r="E8" s="60">
        <v>10438.4853</v>
      </c>
      <c r="F8" s="59">
        <v>11736</v>
      </c>
      <c r="G8" s="59">
        <v>11366</v>
      </c>
      <c r="H8" s="61">
        <v>11888</v>
      </c>
    </row>
    <row r="9" spans="1:9">
      <c r="A9" s="52"/>
      <c r="B9" s="58" t="s">
        <v>22</v>
      </c>
      <c r="C9" s="59" t="s">
        <v>241</v>
      </c>
      <c r="D9" s="59">
        <v>7064</v>
      </c>
      <c r="E9" s="60">
        <v>6409.9783</v>
      </c>
      <c r="F9" s="59">
        <v>11021</v>
      </c>
      <c r="G9" s="59">
        <v>9849</v>
      </c>
      <c r="H9" s="61">
        <v>8216</v>
      </c>
    </row>
    <row r="10" spans="1:9">
      <c r="A10" s="52"/>
      <c r="B10" s="58" t="s">
        <v>22</v>
      </c>
      <c r="C10" s="59" t="s">
        <v>261</v>
      </c>
      <c r="D10" s="59">
        <v>7243</v>
      </c>
      <c r="E10" s="60">
        <v>6665.9</v>
      </c>
      <c r="F10" s="59">
        <v>7638</v>
      </c>
      <c r="G10" s="59">
        <v>7694</v>
      </c>
      <c r="H10" s="61">
        <v>6977</v>
      </c>
    </row>
    <row r="11" spans="1:9">
      <c r="A11" s="52"/>
      <c r="B11" s="58" t="s">
        <v>22</v>
      </c>
      <c r="C11" s="59" t="s">
        <v>301</v>
      </c>
      <c r="D11" s="59">
        <v>7636</v>
      </c>
      <c r="E11" s="60">
        <v>6664.9577</v>
      </c>
      <c r="F11" s="59">
        <v>8130</v>
      </c>
      <c r="G11" s="59">
        <v>8761</v>
      </c>
      <c r="H11" s="61">
        <v>6953</v>
      </c>
    </row>
    <row r="12" spans="1:9">
      <c r="A12" s="52"/>
      <c r="B12" s="58" t="s">
        <v>22</v>
      </c>
      <c r="C12" s="59" t="s">
        <v>327</v>
      </c>
      <c r="D12" s="59">
        <v>6361</v>
      </c>
      <c r="E12" s="60">
        <v>5230.3932</v>
      </c>
      <c r="F12" s="59">
        <v>5587</v>
      </c>
      <c r="G12" s="59">
        <v>7692</v>
      </c>
      <c r="H12" s="61">
        <v>5757</v>
      </c>
    </row>
    <row r="13" spans="1:9">
      <c r="A13" s="52"/>
      <c r="B13" s="58" t="s">
        <v>741</v>
      </c>
      <c r="C13" s="58"/>
      <c r="D13" s="58">
        <f>SUM(D6:D12)</f>
        <v>59481</v>
      </c>
      <c r="E13" s="62">
        <f>SUM(E6:E12)</f>
        <v>57382.5102</v>
      </c>
      <c r="F13" s="58">
        <f>SUM(F6:F12)</f>
        <v>78796</v>
      </c>
      <c r="G13" s="58">
        <f>SUM(G6:G12)</f>
        <v>76032</v>
      </c>
      <c r="H13" s="58">
        <f>SUM(H6:H12)</f>
        <v>64981</v>
      </c>
    </row>
    <row r="14" spans="1:9">
      <c r="A14" s="52"/>
      <c r="B14" s="58" t="s">
        <v>137</v>
      </c>
      <c r="C14" s="59" t="s">
        <v>138</v>
      </c>
      <c r="D14" s="59">
        <v>5919</v>
      </c>
      <c r="E14" s="60">
        <v>4577.6236</v>
      </c>
      <c r="F14" s="59">
        <v>6489</v>
      </c>
      <c r="G14" s="59">
        <v>6974</v>
      </c>
      <c r="H14" s="61">
        <v>5907</v>
      </c>
    </row>
    <row r="15" spans="1:9">
      <c r="A15" s="52"/>
      <c r="B15" s="58" t="s">
        <v>137</v>
      </c>
      <c r="C15" s="59" t="s">
        <v>194</v>
      </c>
      <c r="D15" s="59">
        <v>10354</v>
      </c>
      <c r="E15" s="60">
        <v>9309.0515</v>
      </c>
      <c r="F15" s="59">
        <v>10375</v>
      </c>
      <c r="G15" s="59">
        <v>14783</v>
      </c>
      <c r="H15" s="61">
        <v>10375</v>
      </c>
    </row>
    <row r="16" spans="1:9">
      <c r="A16" s="52"/>
      <c r="B16" s="58" t="s">
        <v>137</v>
      </c>
      <c r="C16" s="59" t="s">
        <v>350</v>
      </c>
      <c r="D16" s="59">
        <v>8188</v>
      </c>
      <c r="E16" s="60">
        <v>7992.2396</v>
      </c>
      <c r="F16" s="59">
        <v>9160</v>
      </c>
      <c r="G16" s="59">
        <v>7059</v>
      </c>
      <c r="H16" s="61">
        <v>13377</v>
      </c>
    </row>
    <row r="17" spans="1:9">
      <c r="A17" s="52"/>
      <c r="B17" s="58" t="s">
        <v>137</v>
      </c>
      <c r="C17" s="59" t="s">
        <v>110</v>
      </c>
      <c r="D17" s="59">
        <v>17431</v>
      </c>
      <c r="E17" s="60">
        <v>9182.7833</v>
      </c>
      <c r="F17" s="59">
        <v>13724</v>
      </c>
      <c r="G17" s="59">
        <v>11852</v>
      </c>
      <c r="H17" s="61">
        <v>9840</v>
      </c>
    </row>
    <row r="18" spans="1:9">
      <c r="A18" s="52"/>
      <c r="B18" s="58" t="s">
        <v>137</v>
      </c>
      <c r="C18" s="59" t="s">
        <v>278</v>
      </c>
      <c r="D18" s="59">
        <v>8795</v>
      </c>
      <c r="E18" s="60">
        <v>7907.4675</v>
      </c>
      <c r="F18" s="59">
        <v>5771</v>
      </c>
      <c r="G18" s="59">
        <v>11803</v>
      </c>
      <c r="H18" s="61">
        <v>8712</v>
      </c>
    </row>
    <row r="19" spans="1:9">
      <c r="A19" s="52"/>
      <c r="B19" s="58" t="s">
        <v>742</v>
      </c>
      <c r="C19" s="58"/>
      <c r="D19" s="58">
        <f>SUM(D14:D18)</f>
        <v>50687</v>
      </c>
      <c r="E19" s="58">
        <f>SUM(E14:E18)</f>
        <v>38969.1655</v>
      </c>
      <c r="F19" s="58">
        <f>SUM(F14:F18)</f>
        <v>45519</v>
      </c>
      <c r="G19" s="58">
        <f>SUM(G14:G18)</f>
        <v>52471</v>
      </c>
      <c r="H19" s="58">
        <f>SUM(H14:H18)</f>
        <v>48211</v>
      </c>
    </row>
    <row r="20" spans="1:9">
      <c r="A20" s="52"/>
      <c r="B20" s="56" t="s">
        <v>743</v>
      </c>
      <c r="C20" s="56"/>
      <c r="D20" s="56">
        <v>110168</v>
      </c>
      <c r="E20" s="63">
        <v>96351.6757</v>
      </c>
      <c r="F20" s="56">
        <v>124315</v>
      </c>
      <c r="G20" s="56">
        <v>128503</v>
      </c>
      <c r="H20" s="56">
        <v>113192</v>
      </c>
    </row>
    <row r="21" spans="1:9">
      <c r="A21" s="52"/>
      <c r="B21" s="52"/>
      <c r="C21" s="52"/>
      <c r="D21" s="52"/>
      <c r="E21" s="52"/>
      <c r="F21" s="52"/>
      <c r="G21" s="52"/>
      <c r="H21" s="52"/>
      <c r="I21" s="52"/>
    </row>
    <row r="22" spans="1:9">
      <c r="A22" s="52"/>
      <c r="B22" s="52"/>
      <c r="C22" s="52"/>
      <c r="D22" s="52"/>
      <c r="E22" s="52"/>
      <c r="F22" s="52"/>
      <c r="G22" s="52"/>
      <c r="H22" s="52"/>
      <c r="I22" s="52"/>
    </row>
    <row r="23" spans="1:9">
      <c r="A23" s="52"/>
      <c r="B23" s="53" t="s">
        <v>744</v>
      </c>
      <c r="C23" s="53"/>
      <c r="D23" s="53"/>
      <c r="E23" s="53"/>
      <c r="F23" s="53"/>
      <c r="G23" s="53"/>
      <c r="H23" s="52"/>
      <c r="I23" s="52"/>
    </row>
    <row r="24" spans="1:9">
      <c r="A24" s="52"/>
      <c r="B24" s="52"/>
      <c r="C24" s="52"/>
      <c r="D24" s="52"/>
      <c r="E24" s="52"/>
      <c r="F24" s="52"/>
      <c r="G24" s="52"/>
      <c r="H24" s="52"/>
      <c r="I24" s="52"/>
    </row>
    <row r="25" ht="43.5" spans="1:9">
      <c r="A25" s="54"/>
      <c r="B25" s="55" t="s">
        <v>1</v>
      </c>
      <c r="C25" s="56" t="s">
        <v>2</v>
      </c>
      <c r="D25" s="56" t="s">
        <v>745</v>
      </c>
      <c r="E25" s="56" t="s">
        <v>746</v>
      </c>
      <c r="F25" s="57" t="s">
        <v>747</v>
      </c>
      <c r="G25" s="56" t="s">
        <v>748</v>
      </c>
      <c r="H25" s="54"/>
      <c r="I25" s="54"/>
    </row>
    <row r="26" spans="1:9">
      <c r="A26" s="52"/>
      <c r="B26" s="58" t="s">
        <v>22</v>
      </c>
      <c r="C26" s="59" t="s">
        <v>23</v>
      </c>
      <c r="D26" s="59">
        <v>60</v>
      </c>
      <c r="E26" s="59">
        <v>42</v>
      </c>
      <c r="F26" s="61">
        <v>38</v>
      </c>
      <c r="G26" s="59">
        <v>37</v>
      </c>
      <c r="H26" s="52"/>
      <c r="I26" s="52"/>
    </row>
    <row r="27" spans="1:9">
      <c r="A27" s="52"/>
      <c r="B27" s="58" t="s">
        <v>22</v>
      </c>
      <c r="C27" s="59" t="s">
        <v>71</v>
      </c>
      <c r="D27" s="59">
        <v>126</v>
      </c>
      <c r="E27" s="59">
        <v>72</v>
      </c>
      <c r="F27" s="61">
        <v>64</v>
      </c>
      <c r="G27" s="59">
        <v>58</v>
      </c>
      <c r="H27" s="52"/>
      <c r="I27" s="52"/>
    </row>
    <row r="28" spans="1:9">
      <c r="A28" s="52"/>
      <c r="B28" s="58" t="s">
        <v>22</v>
      </c>
      <c r="C28" s="59" t="s">
        <v>163</v>
      </c>
      <c r="D28" s="59">
        <v>76</v>
      </c>
      <c r="E28" s="59">
        <v>57</v>
      </c>
      <c r="F28" s="61">
        <v>73</v>
      </c>
      <c r="G28" s="59">
        <v>60</v>
      </c>
      <c r="H28" s="52"/>
      <c r="I28" s="52"/>
    </row>
    <row r="29" spans="1:9">
      <c r="A29" s="52"/>
      <c r="B29" s="58" t="s">
        <v>22</v>
      </c>
      <c r="C29" s="59" t="s">
        <v>241</v>
      </c>
      <c r="D29" s="59">
        <v>51</v>
      </c>
      <c r="E29" s="59">
        <v>34</v>
      </c>
      <c r="F29" s="61">
        <v>49</v>
      </c>
      <c r="G29" s="59">
        <v>20</v>
      </c>
      <c r="H29" s="52"/>
      <c r="I29" s="52"/>
    </row>
    <row r="30" spans="1:9">
      <c r="A30" s="52"/>
      <c r="B30" s="58" t="s">
        <v>22</v>
      </c>
      <c r="C30" s="59" t="s">
        <v>261</v>
      </c>
      <c r="D30" s="59">
        <v>46</v>
      </c>
      <c r="E30" s="59">
        <v>28</v>
      </c>
      <c r="F30" s="61">
        <v>23</v>
      </c>
      <c r="G30" s="59">
        <v>23</v>
      </c>
      <c r="H30" s="52"/>
      <c r="I30" s="52"/>
    </row>
    <row r="31" spans="1:9">
      <c r="A31" s="52"/>
      <c r="B31" s="58" t="s">
        <v>22</v>
      </c>
      <c r="C31" s="59" t="s">
        <v>301</v>
      </c>
      <c r="D31" s="59">
        <v>69</v>
      </c>
      <c r="E31" s="59">
        <v>44</v>
      </c>
      <c r="F31" s="61">
        <v>74</v>
      </c>
      <c r="G31" s="59">
        <v>75</v>
      </c>
      <c r="H31" s="52"/>
      <c r="I31" s="52"/>
    </row>
    <row r="32" spans="1:9">
      <c r="A32" s="52"/>
      <c r="B32" s="58" t="s">
        <v>22</v>
      </c>
      <c r="C32" s="59" t="s">
        <v>327</v>
      </c>
      <c r="D32" s="59">
        <v>74</v>
      </c>
      <c r="E32" s="59">
        <v>40</v>
      </c>
      <c r="F32" s="61">
        <v>59</v>
      </c>
      <c r="G32" s="59">
        <v>21</v>
      </c>
      <c r="H32" s="52"/>
      <c r="I32" s="52"/>
    </row>
    <row r="33" spans="1:9">
      <c r="A33" s="52"/>
      <c r="B33" s="58" t="s">
        <v>741</v>
      </c>
      <c r="C33" s="58"/>
      <c r="D33" s="58">
        <f t="shared" ref="D33:G33" si="0">SUM(D26:D32)</f>
        <v>502</v>
      </c>
      <c r="E33" s="58">
        <f t="shared" si="0"/>
        <v>317</v>
      </c>
      <c r="F33" s="58">
        <f t="shared" si="0"/>
        <v>380</v>
      </c>
      <c r="G33" s="58">
        <f t="shared" si="0"/>
        <v>294</v>
      </c>
      <c r="H33" s="52"/>
      <c r="I33" s="52"/>
    </row>
    <row r="34" spans="1:9">
      <c r="A34" s="52"/>
      <c r="B34" s="58" t="s">
        <v>137</v>
      </c>
      <c r="C34" s="59" t="s">
        <v>138</v>
      </c>
      <c r="D34" s="59">
        <v>47</v>
      </c>
      <c r="E34" s="59">
        <v>33</v>
      </c>
      <c r="F34" s="61">
        <v>41</v>
      </c>
      <c r="G34" s="59">
        <v>31</v>
      </c>
      <c r="H34" s="52"/>
      <c r="I34" s="52"/>
    </row>
    <row r="35" spans="1:9">
      <c r="A35" s="52"/>
      <c r="B35" s="58" t="s">
        <v>137</v>
      </c>
      <c r="C35" s="59" t="s">
        <v>194</v>
      </c>
      <c r="D35" s="59">
        <v>86</v>
      </c>
      <c r="E35" s="59">
        <v>52</v>
      </c>
      <c r="F35" s="61">
        <v>86</v>
      </c>
      <c r="G35" s="59">
        <v>70</v>
      </c>
      <c r="H35" s="52"/>
      <c r="I35" s="52"/>
    </row>
    <row r="36" spans="1:9">
      <c r="A36" s="52"/>
      <c r="B36" s="58" t="s">
        <v>137</v>
      </c>
      <c r="C36" s="59" t="s">
        <v>350</v>
      </c>
      <c r="D36" s="59">
        <v>59</v>
      </c>
      <c r="E36" s="59">
        <v>42</v>
      </c>
      <c r="F36" s="61">
        <v>60</v>
      </c>
      <c r="G36" s="59">
        <v>25</v>
      </c>
      <c r="H36" s="52"/>
      <c r="I36" s="52"/>
    </row>
    <row r="37" spans="1:9">
      <c r="A37" s="52"/>
      <c r="B37" s="58" t="s">
        <v>137</v>
      </c>
      <c r="C37" s="59" t="s">
        <v>110</v>
      </c>
      <c r="D37" s="59">
        <v>68</v>
      </c>
      <c r="E37" s="59">
        <v>40</v>
      </c>
      <c r="F37" s="61">
        <v>69</v>
      </c>
      <c r="G37" s="59">
        <v>73</v>
      </c>
      <c r="H37" s="52"/>
      <c r="I37" s="52"/>
    </row>
    <row r="38" spans="1:9">
      <c r="A38" s="52"/>
      <c r="B38" s="58" t="s">
        <v>137</v>
      </c>
      <c r="C38" s="59" t="s">
        <v>278</v>
      </c>
      <c r="D38" s="59">
        <v>76</v>
      </c>
      <c r="E38" s="59">
        <v>26</v>
      </c>
      <c r="F38" s="61">
        <v>53</v>
      </c>
      <c r="G38" s="59">
        <v>23</v>
      </c>
      <c r="H38" s="52"/>
      <c r="I38" s="52"/>
    </row>
    <row r="39" spans="1:9">
      <c r="A39" s="52"/>
      <c r="B39" s="58" t="s">
        <v>742</v>
      </c>
      <c r="C39" s="58"/>
      <c r="D39" s="58">
        <f t="shared" ref="D39:G39" si="1">SUM(D34:D38)</f>
        <v>336</v>
      </c>
      <c r="E39" s="58">
        <f t="shared" si="1"/>
        <v>193</v>
      </c>
      <c r="F39" s="58">
        <f t="shared" si="1"/>
        <v>309</v>
      </c>
      <c r="G39" s="58">
        <f t="shared" si="1"/>
        <v>222</v>
      </c>
      <c r="H39" s="52"/>
      <c r="I39" s="52"/>
    </row>
    <row r="40" spans="1:9">
      <c r="A40" s="52"/>
      <c r="B40" s="64" t="s">
        <v>743</v>
      </c>
      <c r="C40" s="64"/>
      <c r="D40" s="64">
        <f t="shared" ref="D40:G40" si="2">D33+D39</f>
        <v>838</v>
      </c>
      <c r="E40" s="64">
        <f t="shared" si="2"/>
        <v>510</v>
      </c>
      <c r="F40" s="64">
        <f t="shared" si="2"/>
        <v>689</v>
      </c>
      <c r="G40" s="64">
        <f t="shared" si="2"/>
        <v>516</v>
      </c>
      <c r="H40" s="52"/>
      <c r="I40" s="52"/>
    </row>
    <row r="41" spans="1:9">
      <c r="A41" s="52"/>
      <c r="B41" s="52"/>
      <c r="C41" s="52"/>
      <c r="D41" s="52"/>
      <c r="E41" s="52"/>
      <c r="F41" s="52"/>
      <c r="G41" s="52"/>
      <c r="H41" s="52"/>
      <c r="I41" s="52"/>
    </row>
    <row r="42" spans="1:9">
      <c r="A42" s="52"/>
      <c r="B42" s="52"/>
      <c r="C42" s="52"/>
      <c r="D42" s="52"/>
      <c r="E42" s="52"/>
      <c r="F42" s="52"/>
      <c r="G42" s="52"/>
      <c r="H42" s="52"/>
      <c r="I42" s="52"/>
    </row>
    <row r="43" spans="1:9">
      <c r="A43" s="52"/>
      <c r="B43" s="52"/>
      <c r="C43" s="52"/>
      <c r="D43" s="52"/>
      <c r="E43" s="52"/>
      <c r="F43" s="52"/>
      <c r="G43" s="52"/>
      <c r="H43" s="52"/>
      <c r="I43" s="52"/>
    </row>
    <row r="44" spans="1:9">
      <c r="A44" s="52"/>
      <c r="B44" s="52"/>
      <c r="C44" s="52"/>
      <c r="D44" s="52"/>
      <c r="E44" s="52"/>
      <c r="F44" s="52"/>
      <c r="G44" s="52"/>
      <c r="H44" s="52"/>
      <c r="I44" s="52"/>
    </row>
    <row r="45" spans="1:9">
      <c r="A45" s="52"/>
      <c r="B45" s="52"/>
      <c r="C45" s="52"/>
      <c r="D45" s="52"/>
      <c r="E45" s="52"/>
      <c r="F45" s="52"/>
      <c r="G45" s="52"/>
      <c r="H45" s="52"/>
      <c r="I45" s="52"/>
    </row>
    <row r="46" spans="1:9">
      <c r="A46" s="52"/>
      <c r="B46" s="53" t="s">
        <v>749</v>
      </c>
      <c r="C46" s="53"/>
      <c r="D46" s="53"/>
      <c r="E46" s="53"/>
      <c r="F46" s="53"/>
      <c r="G46" s="52"/>
      <c r="H46" s="52"/>
      <c r="I46" s="52"/>
    </row>
    <row r="47" spans="1:9">
      <c r="A47" s="52"/>
      <c r="B47" s="52"/>
      <c r="C47" s="52"/>
      <c r="D47" s="52"/>
      <c r="E47" s="52"/>
      <c r="F47" s="52"/>
      <c r="G47" s="52"/>
      <c r="H47" s="52"/>
      <c r="I47" s="52"/>
    </row>
    <row r="48" spans="1:9">
      <c r="A48" s="52"/>
      <c r="B48" s="64" t="s">
        <v>1</v>
      </c>
      <c r="C48" s="65" t="s">
        <v>2</v>
      </c>
      <c r="D48" s="65" t="s">
        <v>750</v>
      </c>
      <c r="E48" s="65" t="s">
        <v>751</v>
      </c>
      <c r="F48" s="66" t="s">
        <v>743</v>
      </c>
      <c r="G48" s="52"/>
      <c r="H48" s="52"/>
      <c r="I48" s="52"/>
    </row>
    <row r="49" spans="1:9">
      <c r="A49" s="52"/>
      <c r="B49" s="58" t="s">
        <v>22</v>
      </c>
      <c r="C49" s="59" t="s">
        <v>23</v>
      </c>
      <c r="D49" s="59">
        <v>6</v>
      </c>
      <c r="E49" s="59">
        <v>16</v>
      </c>
      <c r="F49" s="61">
        <v>22</v>
      </c>
      <c r="G49" s="52"/>
      <c r="H49" s="52"/>
      <c r="I49" s="52"/>
    </row>
    <row r="50" spans="1:9">
      <c r="A50" s="52"/>
      <c r="B50" s="58" t="s">
        <v>22</v>
      </c>
      <c r="C50" s="59" t="s">
        <v>71</v>
      </c>
      <c r="D50" s="59">
        <v>21</v>
      </c>
      <c r="E50" s="59">
        <v>16</v>
      </c>
      <c r="F50" s="61">
        <v>37</v>
      </c>
      <c r="G50" s="52"/>
      <c r="H50" s="52"/>
      <c r="I50" s="52"/>
    </row>
    <row r="51" spans="1:9">
      <c r="A51" s="52"/>
      <c r="B51" s="58" t="s">
        <v>22</v>
      </c>
      <c r="C51" s="59" t="s">
        <v>163</v>
      </c>
      <c r="D51" s="59">
        <v>14</v>
      </c>
      <c r="E51" s="59">
        <v>14</v>
      </c>
      <c r="F51" s="61">
        <v>28</v>
      </c>
      <c r="G51" s="52"/>
      <c r="H51" s="52"/>
      <c r="I51" s="52"/>
    </row>
    <row r="52" spans="1:9">
      <c r="A52" s="52"/>
      <c r="B52" s="58" t="s">
        <v>22</v>
      </c>
      <c r="C52" s="59" t="s">
        <v>241</v>
      </c>
      <c r="D52" s="59">
        <v>10</v>
      </c>
      <c r="E52" s="59">
        <v>9</v>
      </c>
      <c r="F52" s="61">
        <v>19</v>
      </c>
      <c r="G52" s="52"/>
      <c r="H52" s="52"/>
      <c r="I52" s="52"/>
    </row>
    <row r="53" spans="1:9">
      <c r="A53" s="52"/>
      <c r="B53" s="58" t="s">
        <v>22</v>
      </c>
      <c r="C53" s="59" t="s">
        <v>261</v>
      </c>
      <c r="D53" s="59">
        <v>11</v>
      </c>
      <c r="E53" s="59">
        <v>5</v>
      </c>
      <c r="F53" s="61">
        <v>16</v>
      </c>
      <c r="G53" s="52"/>
      <c r="H53" s="52"/>
      <c r="I53" s="52"/>
    </row>
    <row r="54" spans="1:9">
      <c r="A54" s="52"/>
      <c r="B54" s="58" t="s">
        <v>22</v>
      </c>
      <c r="C54" s="59" t="s">
        <v>301</v>
      </c>
      <c r="D54" s="59">
        <v>9</v>
      </c>
      <c r="E54" s="59">
        <v>16</v>
      </c>
      <c r="F54" s="61">
        <v>25</v>
      </c>
      <c r="G54" s="52"/>
      <c r="H54" s="52"/>
      <c r="I54" s="52"/>
    </row>
    <row r="55" spans="1:9">
      <c r="A55" s="52"/>
      <c r="B55" s="58" t="s">
        <v>22</v>
      </c>
      <c r="C55" s="59" t="s">
        <v>327</v>
      </c>
      <c r="D55" s="59">
        <v>9</v>
      </c>
      <c r="E55" s="59">
        <v>11</v>
      </c>
      <c r="F55" s="61">
        <v>20</v>
      </c>
      <c r="G55" s="52"/>
      <c r="H55" s="52"/>
      <c r="I55" s="52"/>
    </row>
    <row r="56" spans="1:9">
      <c r="A56" s="52"/>
      <c r="B56" s="58" t="s">
        <v>741</v>
      </c>
      <c r="C56" s="58"/>
      <c r="D56" s="58">
        <f t="shared" ref="D56:F56" si="3">SUM(D49:D55)</f>
        <v>80</v>
      </c>
      <c r="E56" s="58">
        <f t="shared" si="3"/>
        <v>87</v>
      </c>
      <c r="F56" s="58">
        <f t="shared" si="3"/>
        <v>167</v>
      </c>
      <c r="G56" s="52"/>
      <c r="H56" s="52"/>
      <c r="I56" s="52"/>
    </row>
    <row r="57" spans="1:9">
      <c r="A57" s="52"/>
      <c r="B57" s="58" t="s">
        <v>137</v>
      </c>
      <c r="C57" s="59" t="s">
        <v>138</v>
      </c>
      <c r="D57" s="59">
        <v>13</v>
      </c>
      <c r="E57" s="59">
        <v>4</v>
      </c>
      <c r="F57" s="61">
        <v>17</v>
      </c>
      <c r="G57" s="52"/>
      <c r="H57" s="52"/>
      <c r="I57" s="52"/>
    </row>
    <row r="58" spans="1:9">
      <c r="A58" s="52"/>
      <c r="B58" s="58" t="s">
        <v>137</v>
      </c>
      <c r="C58" s="59" t="s">
        <v>194</v>
      </c>
      <c r="D58" s="59">
        <v>13</v>
      </c>
      <c r="E58" s="59">
        <v>14</v>
      </c>
      <c r="F58" s="61">
        <v>27</v>
      </c>
      <c r="G58" s="52"/>
      <c r="H58" s="52"/>
      <c r="I58" s="52"/>
    </row>
    <row r="59" spans="1:9">
      <c r="A59" s="52"/>
      <c r="B59" s="58" t="s">
        <v>137</v>
      </c>
      <c r="C59" s="59" t="s">
        <v>350</v>
      </c>
      <c r="D59" s="59">
        <v>12</v>
      </c>
      <c r="E59" s="59">
        <v>9</v>
      </c>
      <c r="F59" s="61">
        <v>21</v>
      </c>
      <c r="G59" s="52"/>
      <c r="H59" s="52"/>
      <c r="I59" s="52"/>
    </row>
    <row r="60" spans="1:9">
      <c r="A60" s="52"/>
      <c r="B60" s="58" t="s">
        <v>137</v>
      </c>
      <c r="C60" s="59" t="s">
        <v>110</v>
      </c>
      <c r="D60" s="59">
        <v>11</v>
      </c>
      <c r="E60" s="59">
        <v>14</v>
      </c>
      <c r="F60" s="61">
        <v>25</v>
      </c>
      <c r="G60" s="52"/>
      <c r="H60" s="52"/>
      <c r="I60" s="52"/>
    </row>
    <row r="61" spans="1:9">
      <c r="A61" s="52"/>
      <c r="B61" s="58" t="s">
        <v>137</v>
      </c>
      <c r="C61" s="59" t="s">
        <v>278</v>
      </c>
      <c r="D61" s="59">
        <v>12</v>
      </c>
      <c r="E61" s="59">
        <v>10</v>
      </c>
      <c r="F61" s="61">
        <v>22</v>
      </c>
      <c r="G61" s="52"/>
      <c r="H61" s="52"/>
      <c r="I61" s="52"/>
    </row>
    <row r="62" spans="1:9">
      <c r="A62" s="52"/>
      <c r="B62" s="58" t="s">
        <v>742</v>
      </c>
      <c r="C62" s="58"/>
      <c r="D62" s="58">
        <f t="shared" ref="D62:F62" si="4">SUM(D57:D61)</f>
        <v>61</v>
      </c>
      <c r="E62" s="58">
        <f t="shared" si="4"/>
        <v>51</v>
      </c>
      <c r="F62" s="58">
        <f t="shared" si="4"/>
        <v>112</v>
      </c>
      <c r="G62" s="52"/>
      <c r="H62" s="52"/>
      <c r="I62" s="52"/>
    </row>
    <row r="63" spans="1:9">
      <c r="A63" s="52"/>
      <c r="B63" s="64" t="s">
        <v>743</v>
      </c>
      <c r="C63" s="64"/>
      <c r="D63" s="64">
        <v>141</v>
      </c>
      <c r="E63" s="64">
        <v>138</v>
      </c>
      <c r="F63" s="64">
        <v>279</v>
      </c>
      <c r="G63" s="52"/>
      <c r="H63" s="52"/>
      <c r="I63" s="52"/>
    </row>
    <row r="64" spans="1:9">
      <c r="A64" s="52"/>
      <c r="B64" s="52"/>
      <c r="C64" s="52"/>
      <c r="D64" s="52"/>
      <c r="E64" s="52"/>
      <c r="F64" s="52"/>
      <c r="G64" s="52"/>
      <c r="H64" s="52"/>
      <c r="I64" s="52"/>
    </row>
    <row r="65" spans="1:9">
      <c r="A65" s="52"/>
      <c r="B65" s="52"/>
      <c r="C65" s="52"/>
      <c r="D65" s="52"/>
      <c r="E65" s="52"/>
      <c r="F65" s="52"/>
      <c r="G65" s="52"/>
      <c r="H65" s="52"/>
      <c r="I65" s="52"/>
    </row>
    <row r="66" spans="1:9">
      <c r="A66" s="52"/>
      <c r="B66" s="52"/>
      <c r="C66" s="52"/>
      <c r="D66" s="52"/>
      <c r="E66" s="52"/>
      <c r="F66" s="52"/>
      <c r="G66" s="52"/>
      <c r="H66" s="52"/>
      <c r="I66" s="52"/>
    </row>
    <row r="67" spans="1:9">
      <c r="A67" s="52"/>
      <c r="B67" s="53" t="s">
        <v>752</v>
      </c>
      <c r="C67" s="53"/>
      <c r="D67" s="53"/>
      <c r="E67" s="53"/>
      <c r="F67" s="53"/>
      <c r="G67" s="52"/>
      <c r="H67" s="52"/>
      <c r="I67" s="52"/>
    </row>
    <row r="68" spans="1:9">
      <c r="A68" s="52"/>
      <c r="B68" s="52"/>
      <c r="C68" s="52"/>
      <c r="D68" s="52"/>
      <c r="E68" s="52"/>
      <c r="F68" s="52"/>
      <c r="G68" s="52"/>
      <c r="H68" s="52"/>
      <c r="I68" s="52"/>
    </row>
    <row r="69" spans="1:9">
      <c r="A69" s="52"/>
      <c r="B69" s="64" t="s">
        <v>1</v>
      </c>
      <c r="C69" s="65" t="s">
        <v>2</v>
      </c>
      <c r="D69" s="65" t="s">
        <v>753</v>
      </c>
      <c r="E69" s="65" t="s">
        <v>754</v>
      </c>
      <c r="F69" s="66" t="s">
        <v>743</v>
      </c>
      <c r="G69" s="52"/>
      <c r="H69" s="52"/>
      <c r="I69" s="52"/>
    </row>
    <row r="70" spans="1:9">
      <c r="A70" s="52"/>
      <c r="B70" s="58" t="s">
        <v>22</v>
      </c>
      <c r="C70" s="59" t="s">
        <v>23</v>
      </c>
      <c r="D70" s="59">
        <v>16</v>
      </c>
      <c r="E70" s="59">
        <v>6</v>
      </c>
      <c r="F70" s="61">
        <v>22</v>
      </c>
      <c r="G70" s="52"/>
      <c r="H70" s="52"/>
      <c r="I70" s="52"/>
    </row>
    <row r="71" spans="1:9">
      <c r="A71" s="52"/>
      <c r="B71" s="58" t="s">
        <v>22</v>
      </c>
      <c r="C71" s="59" t="s">
        <v>71</v>
      </c>
      <c r="D71" s="59">
        <v>8</v>
      </c>
      <c r="E71" s="59">
        <v>29</v>
      </c>
      <c r="F71" s="61">
        <v>37</v>
      </c>
      <c r="G71" s="52"/>
      <c r="H71" s="52"/>
      <c r="I71" s="52"/>
    </row>
    <row r="72" spans="1:9">
      <c r="A72" s="52"/>
      <c r="B72" s="58" t="s">
        <v>22</v>
      </c>
      <c r="C72" s="59" t="s">
        <v>163</v>
      </c>
      <c r="D72" s="59">
        <v>13</v>
      </c>
      <c r="E72" s="59">
        <v>15</v>
      </c>
      <c r="F72" s="61">
        <v>28</v>
      </c>
      <c r="G72" s="52"/>
      <c r="H72" s="52"/>
      <c r="I72" s="52"/>
    </row>
    <row r="73" spans="1:9">
      <c r="A73" s="52"/>
      <c r="B73" s="58" t="s">
        <v>22</v>
      </c>
      <c r="C73" s="59" t="s">
        <v>241</v>
      </c>
      <c r="D73" s="59">
        <v>6</v>
      </c>
      <c r="E73" s="59">
        <v>13</v>
      </c>
      <c r="F73" s="61">
        <v>19</v>
      </c>
      <c r="G73" s="52"/>
      <c r="H73" s="52"/>
      <c r="I73" s="52"/>
    </row>
    <row r="74" spans="1:9">
      <c r="A74" s="52"/>
      <c r="B74" s="58" t="s">
        <v>22</v>
      </c>
      <c r="C74" s="59" t="s">
        <v>261</v>
      </c>
      <c r="D74" s="59">
        <v>14</v>
      </c>
      <c r="E74" s="59">
        <v>2</v>
      </c>
      <c r="F74" s="61">
        <v>16</v>
      </c>
      <c r="G74" s="52"/>
      <c r="H74" s="52"/>
      <c r="I74" s="52"/>
    </row>
    <row r="75" spans="1:9">
      <c r="A75" s="52"/>
      <c r="B75" s="58" t="s">
        <v>22</v>
      </c>
      <c r="C75" s="59" t="s">
        <v>301</v>
      </c>
      <c r="D75" s="59">
        <v>13</v>
      </c>
      <c r="E75" s="59">
        <v>12</v>
      </c>
      <c r="F75" s="61">
        <v>25</v>
      </c>
      <c r="G75" s="52"/>
      <c r="H75" s="52"/>
      <c r="I75" s="52"/>
    </row>
    <row r="76" spans="1:9">
      <c r="A76" s="52"/>
      <c r="B76" s="58" t="s">
        <v>22</v>
      </c>
      <c r="C76" s="59" t="s">
        <v>327</v>
      </c>
      <c r="D76" s="59">
        <v>9</v>
      </c>
      <c r="E76" s="59">
        <v>11</v>
      </c>
      <c r="F76" s="61">
        <v>20</v>
      </c>
      <c r="G76" s="52"/>
      <c r="H76" s="52"/>
      <c r="I76" s="52"/>
    </row>
    <row r="77" spans="1:9">
      <c r="A77" s="52"/>
      <c r="B77" s="58" t="s">
        <v>741</v>
      </c>
      <c r="C77" s="58"/>
      <c r="D77" s="58">
        <f t="shared" ref="D77:F77" si="5">SUM(D70:D76)</f>
        <v>79</v>
      </c>
      <c r="E77" s="58">
        <f t="shared" si="5"/>
        <v>88</v>
      </c>
      <c r="F77" s="58">
        <f t="shared" si="5"/>
        <v>167</v>
      </c>
      <c r="G77" s="52"/>
      <c r="H77" s="52"/>
      <c r="I77" s="52"/>
    </row>
    <row r="78" spans="1:9">
      <c r="A78" s="52"/>
      <c r="B78" s="58" t="s">
        <v>137</v>
      </c>
      <c r="C78" s="59" t="s">
        <v>138</v>
      </c>
      <c r="D78" s="59">
        <v>17</v>
      </c>
      <c r="E78" s="59"/>
      <c r="F78" s="61">
        <v>17</v>
      </c>
      <c r="G78" s="52"/>
      <c r="H78" s="52"/>
      <c r="I78" s="52"/>
    </row>
    <row r="79" spans="1:9">
      <c r="A79" s="52"/>
      <c r="B79" s="58" t="s">
        <v>137</v>
      </c>
      <c r="C79" s="59" t="s">
        <v>194</v>
      </c>
      <c r="D79" s="59">
        <v>9</v>
      </c>
      <c r="E79" s="59">
        <v>18</v>
      </c>
      <c r="F79" s="61">
        <v>27</v>
      </c>
      <c r="G79" s="52"/>
      <c r="H79" s="52"/>
      <c r="I79" s="52"/>
    </row>
    <row r="80" spans="1:9">
      <c r="A80" s="52"/>
      <c r="B80" s="58" t="s">
        <v>137</v>
      </c>
      <c r="C80" s="59" t="s">
        <v>350</v>
      </c>
      <c r="D80" s="59">
        <v>14</v>
      </c>
      <c r="E80" s="59">
        <v>7</v>
      </c>
      <c r="F80" s="61">
        <v>21</v>
      </c>
      <c r="G80" s="52"/>
      <c r="H80" s="52"/>
      <c r="I80" s="52"/>
    </row>
    <row r="81" spans="1:9">
      <c r="A81" s="52"/>
      <c r="B81" s="58" t="s">
        <v>137</v>
      </c>
      <c r="C81" s="59" t="s">
        <v>110</v>
      </c>
      <c r="D81" s="59">
        <v>21</v>
      </c>
      <c r="E81" s="59">
        <v>4</v>
      </c>
      <c r="F81" s="61">
        <v>25</v>
      </c>
      <c r="G81" s="52"/>
      <c r="H81" s="52"/>
      <c r="I81" s="52"/>
    </row>
    <row r="82" spans="1:9">
      <c r="A82" s="52"/>
      <c r="B82" s="58" t="s">
        <v>137</v>
      </c>
      <c r="C82" s="59" t="s">
        <v>278</v>
      </c>
      <c r="D82" s="59">
        <v>8</v>
      </c>
      <c r="E82" s="59">
        <v>14</v>
      </c>
      <c r="F82" s="61">
        <v>22</v>
      </c>
      <c r="G82" s="52"/>
      <c r="H82" s="52"/>
      <c r="I82" s="52"/>
    </row>
    <row r="83" spans="1:9">
      <c r="A83" s="52"/>
      <c r="B83" s="58" t="s">
        <v>742</v>
      </c>
      <c r="C83" s="58"/>
      <c r="D83" s="58">
        <f t="shared" ref="D83:F83" si="6">SUM(D78:D82)</f>
        <v>69</v>
      </c>
      <c r="E83" s="58">
        <f t="shared" si="6"/>
        <v>43</v>
      </c>
      <c r="F83" s="58">
        <f t="shared" si="6"/>
        <v>112</v>
      </c>
      <c r="G83" s="52"/>
      <c r="H83" s="52"/>
      <c r="I83" s="52"/>
    </row>
    <row r="84" spans="1:9">
      <c r="A84" s="52"/>
      <c r="B84" s="64" t="s">
        <v>743</v>
      </c>
      <c r="C84" s="64"/>
      <c r="D84" s="64">
        <f t="shared" ref="D84:F84" si="7">D83+D77</f>
        <v>148</v>
      </c>
      <c r="E84" s="64">
        <f t="shared" si="7"/>
        <v>131</v>
      </c>
      <c r="F84" s="64">
        <f t="shared" si="7"/>
        <v>279</v>
      </c>
      <c r="G84" s="52"/>
      <c r="H84" s="52"/>
      <c r="I84" s="52"/>
    </row>
    <row r="85" spans="1:9">
      <c r="A85" s="52"/>
      <c r="B85" s="52"/>
      <c r="C85" s="52"/>
      <c r="D85" s="52"/>
      <c r="E85" s="52"/>
      <c r="F85" s="52"/>
      <c r="G85" s="52"/>
      <c r="H85" s="52"/>
      <c r="I85" s="52"/>
    </row>
    <row r="86" spans="1:9">
      <c r="A86" s="52"/>
      <c r="B86" s="52"/>
      <c r="C86" s="52"/>
      <c r="D86" s="52"/>
      <c r="E86" s="52"/>
      <c r="F86" s="52"/>
      <c r="G86" s="52"/>
      <c r="H86" s="52"/>
      <c r="I86" s="52"/>
    </row>
    <row r="87" spans="1:9">
      <c r="A87" s="52"/>
      <c r="B87" s="52"/>
      <c r="C87" s="52"/>
      <c r="D87" s="52"/>
      <c r="E87" s="52"/>
      <c r="F87" s="52"/>
      <c r="G87" s="52"/>
      <c r="H87" s="52"/>
      <c r="I87" s="52"/>
    </row>
    <row r="88" spans="1:9">
      <c r="A88" s="52"/>
      <c r="B88" s="52"/>
      <c r="C88" s="52"/>
      <c r="D88" s="52"/>
      <c r="E88" s="52"/>
      <c r="F88" s="52"/>
      <c r="G88" s="52"/>
      <c r="H88" s="52"/>
      <c r="I88" s="52"/>
    </row>
    <row r="89" spans="1:9">
      <c r="A89" s="52"/>
      <c r="B89" s="53" t="s">
        <v>755</v>
      </c>
      <c r="C89" s="53"/>
      <c r="D89" s="53"/>
      <c r="E89" s="53"/>
      <c r="F89" s="53"/>
      <c r="G89" s="52"/>
      <c r="H89" s="52"/>
      <c r="I89" s="52"/>
    </row>
    <row r="90" spans="1:9">
      <c r="A90" s="52"/>
      <c r="B90" s="52"/>
      <c r="C90" s="52"/>
      <c r="D90" s="52"/>
      <c r="E90" s="52"/>
      <c r="F90" s="52"/>
      <c r="G90" s="52"/>
      <c r="H90" s="52"/>
      <c r="I90" s="52"/>
    </row>
    <row r="91" spans="1:9">
      <c r="A91" s="52"/>
      <c r="B91" s="64" t="s">
        <v>1</v>
      </c>
      <c r="C91" s="65" t="s">
        <v>2</v>
      </c>
      <c r="D91" s="65" t="s">
        <v>26</v>
      </c>
      <c r="E91" s="65" t="s">
        <v>29</v>
      </c>
      <c r="F91" s="66" t="s">
        <v>743</v>
      </c>
      <c r="G91" s="52"/>
      <c r="H91" s="52"/>
      <c r="I91" s="52"/>
    </row>
    <row r="92" spans="1:9">
      <c r="A92" s="52"/>
      <c r="B92" s="58" t="s">
        <v>22</v>
      </c>
      <c r="C92" s="59" t="s">
        <v>23</v>
      </c>
      <c r="D92" s="59">
        <v>20</v>
      </c>
      <c r="E92" s="59">
        <v>2</v>
      </c>
      <c r="F92" s="61">
        <v>22</v>
      </c>
      <c r="G92" s="52"/>
      <c r="H92" s="52"/>
      <c r="I92" s="52"/>
    </row>
    <row r="93" spans="1:9">
      <c r="A93" s="52"/>
      <c r="B93" s="58" t="s">
        <v>22</v>
      </c>
      <c r="C93" s="59" t="s">
        <v>71</v>
      </c>
      <c r="D93" s="59">
        <v>32</v>
      </c>
      <c r="E93" s="59">
        <v>5</v>
      </c>
      <c r="F93" s="61">
        <v>37</v>
      </c>
      <c r="G93" s="52"/>
      <c r="H93" s="52"/>
      <c r="I93" s="52"/>
    </row>
    <row r="94" spans="1:9">
      <c r="A94" s="52"/>
      <c r="B94" s="58" t="s">
        <v>22</v>
      </c>
      <c r="C94" s="59" t="s">
        <v>163</v>
      </c>
      <c r="D94" s="59">
        <v>27</v>
      </c>
      <c r="E94" s="59">
        <v>1</v>
      </c>
      <c r="F94" s="61">
        <v>28</v>
      </c>
      <c r="G94" s="52"/>
      <c r="H94" s="52"/>
      <c r="I94" s="52"/>
    </row>
    <row r="95" spans="1:9">
      <c r="A95" s="52"/>
      <c r="B95" s="58" t="s">
        <v>22</v>
      </c>
      <c r="C95" s="59" t="s">
        <v>241</v>
      </c>
      <c r="D95" s="59">
        <v>19</v>
      </c>
      <c r="E95" s="59"/>
      <c r="F95" s="61">
        <v>19</v>
      </c>
      <c r="G95" s="52"/>
      <c r="H95" s="52"/>
      <c r="I95" s="52"/>
    </row>
    <row r="96" spans="1:9">
      <c r="A96" s="52"/>
      <c r="B96" s="58" t="s">
        <v>22</v>
      </c>
      <c r="C96" s="59" t="s">
        <v>261</v>
      </c>
      <c r="D96" s="59">
        <v>16</v>
      </c>
      <c r="E96" s="59"/>
      <c r="F96" s="61">
        <v>16</v>
      </c>
      <c r="G96" s="52"/>
      <c r="H96" s="52"/>
      <c r="I96" s="52"/>
    </row>
    <row r="97" spans="1:9">
      <c r="A97" s="52"/>
      <c r="B97" s="58" t="s">
        <v>22</v>
      </c>
      <c r="C97" s="59" t="s">
        <v>301</v>
      </c>
      <c r="D97" s="59">
        <v>25</v>
      </c>
      <c r="E97" s="59"/>
      <c r="F97" s="61">
        <v>25</v>
      </c>
      <c r="G97" s="52"/>
      <c r="H97" s="52"/>
      <c r="I97" s="52"/>
    </row>
    <row r="98" spans="1:9">
      <c r="A98" s="52"/>
      <c r="B98" s="58" t="s">
        <v>22</v>
      </c>
      <c r="C98" s="59" t="s">
        <v>327</v>
      </c>
      <c r="D98" s="59">
        <v>20</v>
      </c>
      <c r="E98" s="59"/>
      <c r="F98" s="61">
        <v>20</v>
      </c>
      <c r="G98" s="52"/>
      <c r="H98" s="52"/>
      <c r="I98" s="52"/>
    </row>
    <row r="99" spans="1:9">
      <c r="A99" s="52"/>
      <c r="B99" s="58" t="s">
        <v>741</v>
      </c>
      <c r="C99" s="58"/>
      <c r="D99" s="58">
        <f t="shared" ref="D99:F99" si="8">SUM(D92:D98)</f>
        <v>159</v>
      </c>
      <c r="E99" s="58">
        <f t="shared" si="8"/>
        <v>8</v>
      </c>
      <c r="F99" s="58">
        <f t="shared" si="8"/>
        <v>167</v>
      </c>
      <c r="G99" s="52"/>
      <c r="H99" s="52"/>
      <c r="I99" s="52"/>
    </row>
    <row r="100" spans="1:9">
      <c r="A100" s="52"/>
      <c r="B100" s="58" t="s">
        <v>137</v>
      </c>
      <c r="C100" s="59" t="s">
        <v>138</v>
      </c>
      <c r="D100" s="59">
        <v>16</v>
      </c>
      <c r="E100" s="59"/>
      <c r="F100" s="61">
        <v>16</v>
      </c>
      <c r="G100" s="52"/>
      <c r="H100" s="52"/>
      <c r="I100" s="52"/>
    </row>
    <row r="101" spans="1:9">
      <c r="A101" s="52"/>
      <c r="B101" s="58" t="s">
        <v>137</v>
      </c>
      <c r="C101" s="59" t="s">
        <v>194</v>
      </c>
      <c r="D101" s="59">
        <v>26</v>
      </c>
      <c r="E101" s="59">
        <v>1</v>
      </c>
      <c r="F101" s="61">
        <v>27</v>
      </c>
      <c r="G101" s="52"/>
      <c r="H101" s="52"/>
      <c r="I101" s="52"/>
    </row>
    <row r="102" spans="1:9">
      <c r="A102" s="52"/>
      <c r="B102" s="58" t="s">
        <v>137</v>
      </c>
      <c r="C102" s="59" t="s">
        <v>350</v>
      </c>
      <c r="D102" s="59">
        <v>21</v>
      </c>
      <c r="E102" s="59"/>
      <c r="F102" s="61">
        <v>21</v>
      </c>
      <c r="G102" s="52"/>
      <c r="H102" s="52"/>
      <c r="I102" s="52"/>
    </row>
    <row r="103" spans="1:9">
      <c r="A103" s="52"/>
      <c r="B103" s="58" t="s">
        <v>137</v>
      </c>
      <c r="C103" s="59" t="s">
        <v>110</v>
      </c>
      <c r="D103" s="59">
        <v>24</v>
      </c>
      <c r="E103" s="59">
        <v>1</v>
      </c>
      <c r="F103" s="61">
        <v>25</v>
      </c>
      <c r="G103" s="52"/>
      <c r="H103" s="52"/>
      <c r="I103" s="52"/>
    </row>
    <row r="104" spans="1:9">
      <c r="A104" s="52"/>
      <c r="B104" s="58" t="s">
        <v>137</v>
      </c>
      <c r="C104" s="59" t="s">
        <v>278</v>
      </c>
      <c r="D104" s="59">
        <v>22</v>
      </c>
      <c r="E104" s="59"/>
      <c r="F104" s="61">
        <v>22</v>
      </c>
      <c r="G104" s="52"/>
      <c r="H104" s="52"/>
      <c r="I104" s="52"/>
    </row>
    <row r="105" spans="1:9">
      <c r="A105" s="52"/>
      <c r="B105" s="58" t="s">
        <v>742</v>
      </c>
      <c r="C105" s="58"/>
      <c r="D105" s="58">
        <f t="shared" ref="D105:F105" si="9">SUM(D100:D104)</f>
        <v>109</v>
      </c>
      <c r="E105" s="58">
        <f t="shared" si="9"/>
        <v>2</v>
      </c>
      <c r="F105" s="58">
        <f t="shared" si="9"/>
        <v>111</v>
      </c>
      <c r="G105" s="52"/>
      <c r="H105" s="52"/>
      <c r="I105" s="52"/>
    </row>
    <row r="106" spans="1:9">
      <c r="A106" s="52"/>
      <c r="B106" s="64" t="s">
        <v>743</v>
      </c>
      <c r="C106" s="64"/>
      <c r="D106" s="64">
        <f>+D99+D105</f>
        <v>268</v>
      </c>
      <c r="E106" s="64">
        <v>10</v>
      </c>
      <c r="F106" s="64">
        <v>278</v>
      </c>
      <c r="G106" s="52"/>
      <c r="H106" s="52"/>
      <c r="I106" s="52"/>
    </row>
    <row r="107" spans="1:9">
      <c r="A107" s="52"/>
      <c r="B107" s="52"/>
      <c r="C107" s="52"/>
      <c r="D107" s="52"/>
      <c r="E107" s="52"/>
      <c r="F107" s="52"/>
      <c r="G107" s="52"/>
      <c r="H107" s="52"/>
      <c r="I107" s="52"/>
    </row>
    <row r="108" spans="1:9">
      <c r="A108" s="52"/>
      <c r="B108" s="52"/>
      <c r="C108" s="52"/>
      <c r="D108" s="52"/>
      <c r="E108" s="52"/>
      <c r="F108" s="52"/>
      <c r="G108" s="52"/>
      <c r="H108" s="52"/>
      <c r="I108" s="52"/>
    </row>
    <row r="109" spans="1:9">
      <c r="A109" s="52"/>
      <c r="B109" s="52"/>
      <c r="C109" s="52"/>
      <c r="D109" s="52"/>
      <c r="E109" s="52"/>
      <c r="F109" s="52"/>
      <c r="G109" s="52"/>
      <c r="H109" s="52"/>
      <c r="I109" s="52"/>
    </row>
    <row r="110" spans="1:9">
      <c r="A110" s="52"/>
      <c r="B110" s="52"/>
      <c r="C110" s="52"/>
      <c r="D110" s="52"/>
      <c r="E110" s="52"/>
      <c r="F110" s="52"/>
      <c r="G110" s="52"/>
      <c r="H110" s="52"/>
      <c r="I110" s="52"/>
    </row>
    <row r="111" spans="1:9">
      <c r="A111" s="52"/>
      <c r="B111" s="53" t="s">
        <v>756</v>
      </c>
      <c r="C111" s="53"/>
      <c r="D111" s="53"/>
      <c r="E111" s="53"/>
      <c r="F111" s="53"/>
      <c r="G111" s="53"/>
      <c r="H111" s="53"/>
      <c r="I111" s="52"/>
    </row>
    <row r="112" spans="1:9">
      <c r="A112" s="52"/>
      <c r="B112" s="52"/>
      <c r="C112" s="52"/>
      <c r="D112" s="52"/>
      <c r="E112" s="52"/>
      <c r="F112" s="52"/>
      <c r="G112" s="52"/>
      <c r="H112" s="52"/>
      <c r="I112" s="52"/>
    </row>
    <row r="113" ht="29" spans="1:9">
      <c r="A113" s="52"/>
      <c r="B113" s="64" t="s">
        <v>1</v>
      </c>
      <c r="C113" s="65" t="s">
        <v>2</v>
      </c>
      <c r="D113" s="65" t="s">
        <v>372</v>
      </c>
      <c r="E113" s="65" t="s">
        <v>373</v>
      </c>
      <c r="F113" s="65" t="s">
        <v>375</v>
      </c>
      <c r="G113" s="56" t="s">
        <v>376</v>
      </c>
      <c r="H113" s="66" t="s">
        <v>374</v>
      </c>
      <c r="I113" s="52"/>
    </row>
    <row r="114" spans="1:9">
      <c r="A114" s="52"/>
      <c r="B114" s="58" t="s">
        <v>22</v>
      </c>
      <c r="C114" s="59" t="s">
        <v>23</v>
      </c>
      <c r="D114" s="59">
        <v>2600</v>
      </c>
      <c r="E114" s="59">
        <v>168</v>
      </c>
      <c r="F114" s="59">
        <v>1</v>
      </c>
      <c r="G114" s="59">
        <v>244</v>
      </c>
      <c r="H114" s="61">
        <v>22</v>
      </c>
      <c r="I114" s="52"/>
    </row>
    <row r="115" spans="1:9">
      <c r="A115" s="52"/>
      <c r="B115" s="58" t="s">
        <v>22</v>
      </c>
      <c r="C115" s="59" t="s">
        <v>71</v>
      </c>
      <c r="D115" s="59">
        <v>815</v>
      </c>
      <c r="E115" s="59">
        <v>5256</v>
      </c>
      <c r="F115" s="59">
        <v>5</v>
      </c>
      <c r="G115" s="59">
        <v>195</v>
      </c>
      <c r="H115" s="61">
        <v>37</v>
      </c>
      <c r="I115" s="52"/>
    </row>
    <row r="116" spans="1:9">
      <c r="A116" s="52"/>
      <c r="B116" s="58" t="s">
        <v>22</v>
      </c>
      <c r="C116" s="59" t="s">
        <v>163</v>
      </c>
      <c r="D116" s="59">
        <v>1880</v>
      </c>
      <c r="E116" s="59">
        <v>3520</v>
      </c>
      <c r="F116" s="59">
        <v>20</v>
      </c>
      <c r="G116" s="59">
        <v>455</v>
      </c>
      <c r="H116" s="61">
        <v>28</v>
      </c>
      <c r="I116" s="52"/>
    </row>
    <row r="117" spans="1:9">
      <c r="A117" s="52"/>
      <c r="B117" s="58" t="s">
        <v>22</v>
      </c>
      <c r="C117" s="59" t="s">
        <v>241</v>
      </c>
      <c r="D117" s="59">
        <v>126</v>
      </c>
      <c r="E117" s="59">
        <v>78</v>
      </c>
      <c r="F117" s="59">
        <v>14</v>
      </c>
      <c r="G117" s="59">
        <v>374</v>
      </c>
      <c r="H117" s="61">
        <v>19</v>
      </c>
      <c r="I117" s="52"/>
    </row>
    <row r="118" spans="1:9">
      <c r="A118" s="52"/>
      <c r="B118" s="58" t="s">
        <v>22</v>
      </c>
      <c r="C118" s="59" t="s">
        <v>261</v>
      </c>
      <c r="D118" s="59">
        <v>644</v>
      </c>
      <c r="E118" s="59">
        <v>100</v>
      </c>
      <c r="F118" s="59">
        <v>0</v>
      </c>
      <c r="G118" s="59"/>
      <c r="H118" s="61">
        <v>16</v>
      </c>
      <c r="I118" s="52"/>
    </row>
    <row r="119" spans="1:9">
      <c r="A119" s="52"/>
      <c r="B119" s="58" t="s">
        <v>22</v>
      </c>
      <c r="C119" s="59" t="s">
        <v>301</v>
      </c>
      <c r="D119" s="59">
        <v>600</v>
      </c>
      <c r="E119" s="59">
        <v>125</v>
      </c>
      <c r="F119" s="59">
        <v>3</v>
      </c>
      <c r="G119" s="59">
        <v>258</v>
      </c>
      <c r="H119" s="61">
        <v>25</v>
      </c>
      <c r="I119" s="52"/>
    </row>
    <row r="120" spans="1:9">
      <c r="A120" s="52"/>
      <c r="B120" s="58" t="s">
        <v>22</v>
      </c>
      <c r="C120" s="59" t="s">
        <v>327</v>
      </c>
      <c r="D120" s="59">
        <v>195</v>
      </c>
      <c r="E120" s="59">
        <v>116</v>
      </c>
      <c r="F120" s="59">
        <v>1</v>
      </c>
      <c r="G120" s="59">
        <v>276</v>
      </c>
      <c r="H120" s="61">
        <v>20</v>
      </c>
      <c r="I120" s="52"/>
    </row>
    <row r="121" spans="1:9">
      <c r="A121" s="52"/>
      <c r="B121" s="58" t="s">
        <v>741</v>
      </c>
      <c r="C121" s="58"/>
      <c r="D121" s="58">
        <f t="shared" ref="D121:H121" si="10">SUM(D114:D120)</f>
        <v>6860</v>
      </c>
      <c r="E121" s="58">
        <f t="shared" si="10"/>
        <v>9363</v>
      </c>
      <c r="F121" s="58">
        <f t="shared" si="10"/>
        <v>44</v>
      </c>
      <c r="G121" s="58">
        <f t="shared" si="10"/>
        <v>1802</v>
      </c>
      <c r="H121" s="58">
        <f t="shared" si="10"/>
        <v>167</v>
      </c>
      <c r="I121" s="52"/>
    </row>
    <row r="122" spans="1:9">
      <c r="A122" s="52"/>
      <c r="B122" s="58" t="s">
        <v>137</v>
      </c>
      <c r="C122" s="59" t="s">
        <v>138</v>
      </c>
      <c r="D122" s="59">
        <v>469</v>
      </c>
      <c r="E122" s="59">
        <v>0</v>
      </c>
      <c r="F122" s="59">
        <v>0</v>
      </c>
      <c r="G122" s="59">
        <v>171</v>
      </c>
      <c r="H122" s="61">
        <v>16</v>
      </c>
      <c r="I122" s="52"/>
    </row>
    <row r="123" spans="1:9">
      <c r="A123" s="52"/>
      <c r="B123" s="58" t="s">
        <v>137</v>
      </c>
      <c r="C123" s="59" t="s">
        <v>194</v>
      </c>
      <c r="D123" s="59">
        <v>1740</v>
      </c>
      <c r="E123" s="59">
        <v>0</v>
      </c>
      <c r="F123" s="59">
        <v>1</v>
      </c>
      <c r="G123" s="59">
        <v>305</v>
      </c>
      <c r="H123" s="61">
        <v>27</v>
      </c>
      <c r="I123" s="52"/>
    </row>
    <row r="124" spans="1:9">
      <c r="A124" s="52"/>
      <c r="B124" s="58" t="s">
        <v>137</v>
      </c>
      <c r="C124" s="59" t="s">
        <v>350</v>
      </c>
      <c r="D124" s="59">
        <v>2496</v>
      </c>
      <c r="E124" s="59">
        <v>2496</v>
      </c>
      <c r="F124" s="59">
        <v>0</v>
      </c>
      <c r="G124" s="59">
        <v>270</v>
      </c>
      <c r="H124" s="61">
        <v>21</v>
      </c>
      <c r="I124" s="52"/>
    </row>
    <row r="125" spans="1:9">
      <c r="A125" s="52"/>
      <c r="B125" s="58" t="s">
        <v>137</v>
      </c>
      <c r="C125" s="59" t="s">
        <v>110</v>
      </c>
      <c r="D125" s="59">
        <v>600</v>
      </c>
      <c r="E125" s="59">
        <v>125</v>
      </c>
      <c r="F125" s="59">
        <v>3</v>
      </c>
      <c r="G125" s="59">
        <v>237</v>
      </c>
      <c r="H125" s="61">
        <v>25</v>
      </c>
      <c r="I125" s="52"/>
    </row>
    <row r="126" spans="1:9">
      <c r="A126" s="52"/>
      <c r="B126" s="58" t="s">
        <v>137</v>
      </c>
      <c r="C126" s="59" t="s">
        <v>278</v>
      </c>
      <c r="D126" s="59">
        <v>299</v>
      </c>
      <c r="E126" s="59">
        <v>182</v>
      </c>
      <c r="F126" s="59">
        <v>1</v>
      </c>
      <c r="G126" s="59">
        <v>243</v>
      </c>
      <c r="H126" s="61">
        <v>22</v>
      </c>
      <c r="I126" s="52"/>
    </row>
    <row r="127" spans="1:9">
      <c r="A127" s="52"/>
      <c r="B127" s="58" t="s">
        <v>742</v>
      </c>
      <c r="C127" s="58"/>
      <c r="D127" s="58">
        <f t="shared" ref="D127:H127" si="11">SUM(D122:D126)</f>
        <v>5604</v>
      </c>
      <c r="E127" s="58">
        <f t="shared" si="11"/>
        <v>2803</v>
      </c>
      <c r="F127" s="58">
        <f t="shared" si="11"/>
        <v>5</v>
      </c>
      <c r="G127" s="58">
        <f t="shared" si="11"/>
        <v>1226</v>
      </c>
      <c r="H127" s="58">
        <f t="shared" si="11"/>
        <v>111</v>
      </c>
      <c r="I127" s="52"/>
    </row>
    <row r="128" spans="1:9">
      <c r="A128" s="52"/>
      <c r="B128" s="64" t="s">
        <v>743</v>
      </c>
      <c r="C128" s="64"/>
      <c r="D128" s="64">
        <v>12464</v>
      </c>
      <c r="E128" s="64">
        <v>12166</v>
      </c>
      <c r="F128" s="64">
        <v>49</v>
      </c>
      <c r="G128" s="64">
        <v>3028</v>
      </c>
      <c r="H128" s="64">
        <v>278</v>
      </c>
      <c r="I128" s="52"/>
    </row>
    <row r="129" spans="1:9">
      <c r="A129" s="52"/>
      <c r="B129" s="52"/>
      <c r="C129" s="52"/>
      <c r="D129" s="52"/>
      <c r="E129" s="52"/>
      <c r="F129" s="52"/>
      <c r="G129" s="52"/>
      <c r="H129" s="52"/>
      <c r="I129" s="52"/>
    </row>
    <row r="130" spans="1:9">
      <c r="A130" s="52"/>
      <c r="B130" s="52"/>
      <c r="C130" s="52"/>
      <c r="D130" s="52"/>
      <c r="E130" s="52"/>
      <c r="F130" s="52"/>
      <c r="G130" s="52"/>
      <c r="H130" s="52"/>
      <c r="I130" s="52"/>
    </row>
    <row r="131" spans="1:9">
      <c r="A131" s="52"/>
      <c r="B131" s="52"/>
      <c r="C131" s="52"/>
      <c r="D131" s="52"/>
      <c r="E131" s="52"/>
      <c r="F131" s="52"/>
      <c r="G131" s="52"/>
      <c r="H131" s="52"/>
      <c r="I131" s="52"/>
    </row>
    <row r="132" spans="1:9">
      <c r="A132" s="52"/>
      <c r="B132" s="52"/>
      <c r="C132" s="52"/>
      <c r="D132" s="52"/>
      <c r="E132" s="52"/>
      <c r="F132" s="52"/>
      <c r="G132" s="52"/>
      <c r="H132" s="52"/>
      <c r="I132" s="52"/>
    </row>
    <row r="133" spans="1:9">
      <c r="A133" s="52"/>
      <c r="B133" s="53" t="s">
        <v>757</v>
      </c>
      <c r="C133" s="53"/>
      <c r="D133" s="53"/>
      <c r="E133" s="53"/>
      <c r="F133" s="53"/>
      <c r="G133" s="53"/>
      <c r="H133" s="53"/>
      <c r="I133" s="52"/>
    </row>
    <row r="134" spans="1:9">
      <c r="A134" s="52"/>
      <c r="B134" s="52"/>
      <c r="C134" s="52"/>
      <c r="D134" s="52"/>
      <c r="E134" s="52"/>
      <c r="F134" s="52"/>
      <c r="G134" s="52"/>
      <c r="H134" s="52"/>
      <c r="I134" s="52"/>
    </row>
    <row r="135" ht="29" spans="1:9">
      <c r="A135" s="52"/>
      <c r="B135" s="64" t="s">
        <v>1</v>
      </c>
      <c r="C135" s="65" t="s">
        <v>380</v>
      </c>
      <c r="D135" s="65" t="s">
        <v>392</v>
      </c>
      <c r="E135" s="56" t="s">
        <v>393</v>
      </c>
      <c r="F135" s="56" t="s">
        <v>758</v>
      </c>
      <c r="G135" s="66" t="s">
        <v>759</v>
      </c>
      <c r="H135" s="57" t="s">
        <v>760</v>
      </c>
      <c r="I135" s="52"/>
    </row>
    <row r="136" spans="1:9">
      <c r="A136" s="52"/>
      <c r="B136" s="58" t="s">
        <v>22</v>
      </c>
      <c r="C136" s="59" t="s">
        <v>395</v>
      </c>
      <c r="D136" s="59">
        <v>22</v>
      </c>
      <c r="E136" s="59">
        <v>15</v>
      </c>
      <c r="F136" s="59">
        <v>12</v>
      </c>
      <c r="G136" s="61">
        <v>3</v>
      </c>
      <c r="H136" s="67">
        <f t="shared" ref="H136:H150" si="12">F136/D136</f>
        <v>0.545454545454545</v>
      </c>
      <c r="I136" s="52"/>
    </row>
    <row r="137" spans="1:9">
      <c r="A137" s="52"/>
      <c r="B137" s="58" t="s">
        <v>22</v>
      </c>
      <c r="C137" s="59" t="s">
        <v>22</v>
      </c>
      <c r="D137" s="59">
        <v>34</v>
      </c>
      <c r="E137" s="59">
        <v>34</v>
      </c>
      <c r="F137" s="59">
        <v>27</v>
      </c>
      <c r="G137" s="61">
        <v>7</v>
      </c>
      <c r="H137" s="67">
        <f t="shared" si="12"/>
        <v>0.794117647058823</v>
      </c>
      <c r="I137" s="52"/>
    </row>
    <row r="138" spans="1:9">
      <c r="A138" s="52"/>
      <c r="B138" s="58" t="s">
        <v>22</v>
      </c>
      <c r="C138" s="59" t="s">
        <v>137</v>
      </c>
      <c r="D138" s="59">
        <v>25</v>
      </c>
      <c r="E138" s="59">
        <v>16</v>
      </c>
      <c r="F138" s="59">
        <v>14</v>
      </c>
      <c r="G138" s="61">
        <v>2</v>
      </c>
      <c r="H138" s="67">
        <f t="shared" si="12"/>
        <v>0.56</v>
      </c>
      <c r="I138" s="52"/>
    </row>
    <row r="139" spans="1:9">
      <c r="A139" s="52"/>
      <c r="B139" s="58" t="s">
        <v>22</v>
      </c>
      <c r="C139" s="59" t="s">
        <v>405</v>
      </c>
      <c r="D139" s="59">
        <v>17</v>
      </c>
      <c r="E139" s="59">
        <v>14</v>
      </c>
      <c r="F139" s="59">
        <v>13</v>
      </c>
      <c r="G139" s="61">
        <v>1</v>
      </c>
      <c r="H139" s="67">
        <f t="shared" si="12"/>
        <v>0.764705882352941</v>
      </c>
      <c r="I139" s="52"/>
    </row>
    <row r="140" spans="1:9">
      <c r="A140" s="52"/>
      <c r="B140" s="58" t="s">
        <v>22</v>
      </c>
      <c r="C140" s="59" t="s">
        <v>406</v>
      </c>
      <c r="D140" s="59">
        <v>28</v>
      </c>
      <c r="E140" s="59">
        <v>25</v>
      </c>
      <c r="F140" s="59">
        <v>21</v>
      </c>
      <c r="G140" s="61">
        <v>4</v>
      </c>
      <c r="H140" s="67">
        <f t="shared" si="12"/>
        <v>0.75</v>
      </c>
      <c r="I140" s="52"/>
    </row>
    <row r="141" spans="1:9">
      <c r="A141" s="52"/>
      <c r="B141" s="58" t="s">
        <v>22</v>
      </c>
      <c r="C141" s="59" t="s">
        <v>407</v>
      </c>
      <c r="D141" s="59">
        <v>27</v>
      </c>
      <c r="E141" s="59">
        <v>25</v>
      </c>
      <c r="F141" s="59">
        <v>23</v>
      </c>
      <c r="G141" s="61">
        <v>2</v>
      </c>
      <c r="H141" s="67">
        <f t="shared" si="12"/>
        <v>0.851851851851852</v>
      </c>
      <c r="I141" s="52"/>
    </row>
    <row r="142" spans="1:9">
      <c r="A142" s="52"/>
      <c r="B142" s="58" t="s">
        <v>22</v>
      </c>
      <c r="C142" s="59" t="s">
        <v>409</v>
      </c>
      <c r="D142" s="59">
        <v>19</v>
      </c>
      <c r="E142" s="59">
        <v>16</v>
      </c>
      <c r="F142" s="59">
        <v>9</v>
      </c>
      <c r="G142" s="61">
        <v>7</v>
      </c>
      <c r="H142" s="67">
        <f t="shared" si="12"/>
        <v>0.473684210526316</v>
      </c>
      <c r="I142" s="52"/>
    </row>
    <row r="143" spans="1:9">
      <c r="A143" s="52"/>
      <c r="B143" s="58" t="s">
        <v>741</v>
      </c>
      <c r="C143" s="58"/>
      <c r="D143" s="58">
        <f t="shared" ref="D143:G143" si="13">SUM(D136:D142)</f>
        <v>172</v>
      </c>
      <c r="E143" s="58">
        <f t="shared" si="13"/>
        <v>145</v>
      </c>
      <c r="F143" s="58">
        <f t="shared" si="13"/>
        <v>119</v>
      </c>
      <c r="G143" s="58">
        <f t="shared" si="13"/>
        <v>26</v>
      </c>
      <c r="H143" s="68">
        <f t="shared" si="12"/>
        <v>0.691860465116279</v>
      </c>
      <c r="I143" s="52"/>
    </row>
    <row r="144" spans="1:9">
      <c r="A144" s="52"/>
      <c r="B144" s="58" t="s">
        <v>137</v>
      </c>
      <c r="C144" s="59" t="s">
        <v>410</v>
      </c>
      <c r="D144" s="59">
        <v>16</v>
      </c>
      <c r="E144" s="59">
        <v>15</v>
      </c>
      <c r="F144" s="59">
        <v>12</v>
      </c>
      <c r="G144" s="61">
        <v>3</v>
      </c>
      <c r="H144" s="67">
        <f t="shared" si="12"/>
        <v>0.75</v>
      </c>
      <c r="I144" s="52"/>
    </row>
    <row r="145" spans="1:9">
      <c r="A145" s="52"/>
      <c r="B145" s="58" t="s">
        <v>137</v>
      </c>
      <c r="C145" s="59" t="s">
        <v>412</v>
      </c>
      <c r="D145" s="59">
        <v>22</v>
      </c>
      <c r="E145" s="59">
        <v>20</v>
      </c>
      <c r="F145" s="59">
        <v>18</v>
      </c>
      <c r="G145" s="61">
        <v>2</v>
      </c>
      <c r="H145" s="67">
        <f t="shared" si="12"/>
        <v>0.818181818181818</v>
      </c>
      <c r="I145" s="52"/>
    </row>
    <row r="146" spans="1:9">
      <c r="A146" s="52"/>
      <c r="B146" s="58" t="s">
        <v>137</v>
      </c>
      <c r="C146" s="59" t="s">
        <v>414</v>
      </c>
      <c r="D146" s="59">
        <v>25</v>
      </c>
      <c r="E146" s="59">
        <v>22</v>
      </c>
      <c r="F146" s="59">
        <v>18</v>
      </c>
      <c r="G146" s="61">
        <v>4</v>
      </c>
      <c r="H146" s="67">
        <f t="shared" si="12"/>
        <v>0.72</v>
      </c>
      <c r="I146" s="52"/>
    </row>
    <row r="147" spans="1:9">
      <c r="A147" s="52"/>
      <c r="B147" s="58" t="s">
        <v>137</v>
      </c>
      <c r="C147" s="59" t="s">
        <v>416</v>
      </c>
      <c r="D147" s="59">
        <v>20</v>
      </c>
      <c r="E147" s="59">
        <v>19</v>
      </c>
      <c r="F147" s="59">
        <v>18</v>
      </c>
      <c r="G147" s="61">
        <v>1</v>
      </c>
      <c r="H147" s="67">
        <f t="shared" si="12"/>
        <v>0.9</v>
      </c>
      <c r="I147" s="52"/>
    </row>
    <row r="148" spans="1:9">
      <c r="A148" s="52"/>
      <c r="B148" s="58" t="s">
        <v>137</v>
      </c>
      <c r="C148" s="59" t="s">
        <v>417</v>
      </c>
      <c r="D148" s="59">
        <v>21</v>
      </c>
      <c r="E148" s="59">
        <v>18</v>
      </c>
      <c r="F148" s="59">
        <v>15</v>
      </c>
      <c r="G148" s="61">
        <v>3</v>
      </c>
      <c r="H148" s="67">
        <f t="shared" si="12"/>
        <v>0.714285714285714</v>
      </c>
      <c r="I148" s="52"/>
    </row>
    <row r="149" spans="1:9">
      <c r="A149" s="52"/>
      <c r="B149" s="58" t="s">
        <v>742</v>
      </c>
      <c r="C149" s="58"/>
      <c r="D149" s="58">
        <f t="shared" ref="D149:G149" si="14">SUM(D144:D148)</f>
        <v>104</v>
      </c>
      <c r="E149" s="58">
        <f t="shared" si="14"/>
        <v>94</v>
      </c>
      <c r="F149" s="58">
        <f t="shared" si="14"/>
        <v>81</v>
      </c>
      <c r="G149" s="58">
        <f t="shared" si="14"/>
        <v>13</v>
      </c>
      <c r="H149" s="68">
        <f t="shared" si="12"/>
        <v>0.778846153846154</v>
      </c>
      <c r="I149" s="52"/>
    </row>
    <row r="150" spans="1:9">
      <c r="A150" s="52"/>
      <c r="B150" s="64" t="s">
        <v>743</v>
      </c>
      <c r="C150" s="64" t="s">
        <v>418</v>
      </c>
      <c r="D150" s="64">
        <v>276</v>
      </c>
      <c r="E150" s="64">
        <v>239</v>
      </c>
      <c r="F150" s="64">
        <v>200</v>
      </c>
      <c r="G150" s="64">
        <v>39</v>
      </c>
      <c r="H150" s="69">
        <f t="shared" si="12"/>
        <v>0.72463768115942</v>
      </c>
      <c r="I150" s="52"/>
    </row>
    <row r="151" spans="1:9">
      <c r="A151" s="52"/>
      <c r="B151" s="52"/>
      <c r="C151" s="52"/>
      <c r="D151" s="52"/>
      <c r="E151" s="52"/>
      <c r="F151" s="52"/>
      <c r="G151" s="52"/>
      <c r="H151" s="52"/>
      <c r="I151" s="52"/>
    </row>
    <row r="152" spans="1:9">
      <c r="A152" s="52"/>
      <c r="B152" s="52"/>
      <c r="C152" s="52"/>
      <c r="D152" s="52"/>
      <c r="E152" s="52"/>
      <c r="F152" s="52"/>
      <c r="G152" s="52"/>
      <c r="H152" s="52"/>
      <c r="I152" s="52"/>
    </row>
    <row r="153" spans="1:9">
      <c r="A153" s="52"/>
      <c r="B153" s="52"/>
      <c r="C153" s="52"/>
      <c r="D153" s="52"/>
      <c r="E153" s="52"/>
      <c r="F153" s="52"/>
      <c r="G153" s="52"/>
      <c r="H153" s="52"/>
      <c r="I153" s="52"/>
    </row>
    <row r="154" spans="1:9">
      <c r="A154" s="52"/>
      <c r="B154" s="52"/>
      <c r="C154" s="52"/>
      <c r="D154" s="52"/>
      <c r="E154" s="52"/>
      <c r="F154" s="52"/>
      <c r="G154" s="52"/>
      <c r="H154" s="52"/>
      <c r="I154" s="52"/>
    </row>
    <row r="155" spans="1:9">
      <c r="A155" s="52"/>
      <c r="B155" s="52"/>
      <c r="C155" s="52"/>
      <c r="D155" s="52"/>
      <c r="E155" s="52"/>
      <c r="F155" s="52"/>
      <c r="G155" s="52"/>
      <c r="H155" s="52"/>
      <c r="I155" s="52"/>
    </row>
  </sheetData>
  <mergeCells count="7">
    <mergeCell ref="B3:H3"/>
    <mergeCell ref="B23:G23"/>
    <mergeCell ref="B46:F46"/>
    <mergeCell ref="B67:F67"/>
    <mergeCell ref="B89:F89"/>
    <mergeCell ref="B111:H111"/>
    <mergeCell ref="B133:H133"/>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4"/>
  <sheetViews>
    <sheetView workbookViewId="0">
      <selection activeCell="L23" sqref="L23"/>
    </sheetView>
  </sheetViews>
  <sheetFormatPr defaultColWidth="8.90909090909091" defaultRowHeight="14.5"/>
  <sheetData>
    <row r="1" s="50" customFormat="1" spans="1:22">
      <c r="A1" s="50" t="s">
        <v>761</v>
      </c>
      <c r="B1" s="50" t="s">
        <v>762</v>
      </c>
      <c r="C1" s="50" t="s">
        <v>763</v>
      </c>
      <c r="D1" s="50" t="s">
        <v>379</v>
      </c>
      <c r="E1" s="50" t="s">
        <v>764</v>
      </c>
      <c r="F1" s="50" t="s">
        <v>380</v>
      </c>
      <c r="G1" s="50" t="s">
        <v>765</v>
      </c>
      <c r="H1" s="50" t="s">
        <v>766</v>
      </c>
      <c r="I1" s="50" t="s">
        <v>767</v>
      </c>
      <c r="J1" s="50" t="s">
        <v>768</v>
      </c>
      <c r="K1" s="50" t="s">
        <v>769</v>
      </c>
      <c r="L1" s="50" t="s">
        <v>770</v>
      </c>
      <c r="M1" s="50" t="s">
        <v>771</v>
      </c>
      <c r="N1" s="50" t="s">
        <v>772</v>
      </c>
      <c r="O1" s="50" t="s">
        <v>773</v>
      </c>
      <c r="P1" s="50" t="s">
        <v>689</v>
      </c>
      <c r="Q1" s="50" t="s">
        <v>690</v>
      </c>
      <c r="R1" s="50" t="s">
        <v>774</v>
      </c>
      <c r="S1" s="50" t="s">
        <v>775</v>
      </c>
      <c r="T1" s="50" t="s">
        <v>776</v>
      </c>
      <c r="U1" s="50" t="s">
        <v>684</v>
      </c>
      <c r="V1" s="50" t="s">
        <v>777</v>
      </c>
    </row>
    <row r="2" s="51" customFormat="1" spans="1:22">
      <c r="A2" s="51" t="s">
        <v>778</v>
      </c>
      <c r="B2" s="51" t="s">
        <v>779</v>
      </c>
      <c r="C2" s="51" t="s">
        <v>780</v>
      </c>
      <c r="D2" s="51" t="s">
        <v>554</v>
      </c>
      <c r="E2" s="51" t="s">
        <v>22</v>
      </c>
      <c r="F2" s="51" t="s">
        <v>395</v>
      </c>
      <c r="G2" s="51">
        <v>69.9</v>
      </c>
      <c r="H2" s="51">
        <v>60.6</v>
      </c>
      <c r="I2" s="51">
        <v>58.3</v>
      </c>
      <c r="J2" s="51">
        <v>54.6</v>
      </c>
      <c r="K2" s="51">
        <v>52.9</v>
      </c>
      <c r="L2" s="51">
        <v>60.1</v>
      </c>
      <c r="M2" s="51">
        <v>58.2</v>
      </c>
      <c r="N2" s="51">
        <v>59.3</v>
      </c>
      <c r="O2" s="51">
        <v>55</v>
      </c>
      <c r="P2" s="51">
        <v>50.1</v>
      </c>
      <c r="Q2" s="51">
        <v>56.1</v>
      </c>
      <c r="R2" s="51">
        <v>39.9</v>
      </c>
      <c r="S2" s="51">
        <v>27.9</v>
      </c>
      <c r="T2" s="51">
        <v>0.3</v>
      </c>
      <c r="U2" s="51">
        <v>58.1</v>
      </c>
      <c r="V2" s="51" t="s">
        <v>781</v>
      </c>
    </row>
    <row r="3" s="51" customFormat="1" spans="1:22">
      <c r="A3" s="51" t="s">
        <v>778</v>
      </c>
      <c r="B3" s="51" t="s">
        <v>779</v>
      </c>
      <c r="C3" s="51" t="s">
        <v>780</v>
      </c>
      <c r="D3" s="51" t="s">
        <v>554</v>
      </c>
      <c r="E3" s="51" t="s">
        <v>22</v>
      </c>
      <c r="F3" s="51" t="s">
        <v>22</v>
      </c>
      <c r="G3" s="51">
        <v>80.6</v>
      </c>
      <c r="H3" s="51">
        <v>85.1</v>
      </c>
      <c r="I3" s="51">
        <v>83.1</v>
      </c>
      <c r="J3" s="51">
        <v>80.6</v>
      </c>
      <c r="K3" s="51">
        <v>75.7</v>
      </c>
      <c r="L3" s="51">
        <v>84.9</v>
      </c>
      <c r="M3" s="51">
        <v>80.9</v>
      </c>
      <c r="N3" s="51">
        <v>84.1</v>
      </c>
      <c r="O3" s="51">
        <v>78.7</v>
      </c>
      <c r="P3" s="51">
        <v>75.6</v>
      </c>
      <c r="Q3" s="51">
        <v>91.5</v>
      </c>
      <c r="R3" s="51">
        <v>65.4</v>
      </c>
      <c r="S3" s="51">
        <v>43.3</v>
      </c>
      <c r="T3" s="51">
        <v>1.3</v>
      </c>
      <c r="U3" s="51">
        <v>80</v>
      </c>
      <c r="V3" s="51" t="s">
        <v>781</v>
      </c>
    </row>
    <row r="4" s="51" customFormat="1" spans="1:22">
      <c r="A4" s="51" t="s">
        <v>778</v>
      </c>
      <c r="B4" s="51" t="s">
        <v>779</v>
      </c>
      <c r="C4" s="51" t="s">
        <v>780</v>
      </c>
      <c r="D4" s="51" t="s">
        <v>554</v>
      </c>
      <c r="E4" s="51" t="s">
        <v>22</v>
      </c>
      <c r="F4" s="51" t="s">
        <v>409</v>
      </c>
      <c r="G4" s="51">
        <v>44</v>
      </c>
      <c r="H4" s="51">
        <v>44.9</v>
      </c>
      <c r="I4" s="51">
        <v>42.2</v>
      </c>
      <c r="J4" s="51">
        <v>41.8</v>
      </c>
      <c r="K4" s="51">
        <v>38.4</v>
      </c>
      <c r="L4" s="51">
        <v>45.3</v>
      </c>
      <c r="M4" s="51">
        <v>42.5</v>
      </c>
      <c r="N4" s="51">
        <v>47.1</v>
      </c>
      <c r="O4" s="51">
        <v>42.1</v>
      </c>
      <c r="P4" s="51">
        <v>41</v>
      </c>
      <c r="Q4" s="51">
        <v>40.8</v>
      </c>
      <c r="R4" s="51">
        <v>41</v>
      </c>
      <c r="S4" s="51">
        <v>16</v>
      </c>
      <c r="T4" s="51">
        <v>0.3</v>
      </c>
      <c r="U4" s="51">
        <v>35.3</v>
      </c>
      <c r="V4" s="51" t="s">
        <v>781</v>
      </c>
    </row>
    <row r="5" s="51" customFormat="1" spans="1:22">
      <c r="A5" s="51" t="s">
        <v>778</v>
      </c>
      <c r="B5" s="51" t="s">
        <v>779</v>
      </c>
      <c r="C5" s="51" t="s">
        <v>780</v>
      </c>
      <c r="D5" s="51" t="s">
        <v>554</v>
      </c>
      <c r="E5" s="51" t="s">
        <v>22</v>
      </c>
      <c r="F5" s="51" t="s">
        <v>410</v>
      </c>
      <c r="G5" s="51">
        <v>41</v>
      </c>
      <c r="H5" s="51">
        <v>75.9</v>
      </c>
      <c r="I5" s="51">
        <v>73.3</v>
      </c>
      <c r="J5" s="51">
        <v>72.7</v>
      </c>
      <c r="K5" s="51">
        <v>69.9</v>
      </c>
      <c r="L5" s="51">
        <v>75.9</v>
      </c>
      <c r="M5" s="51">
        <v>73.1</v>
      </c>
      <c r="N5" s="51">
        <v>75.2</v>
      </c>
      <c r="O5" s="51">
        <v>71.2</v>
      </c>
      <c r="P5" s="51">
        <v>74.5</v>
      </c>
      <c r="Q5" s="51">
        <v>80.4</v>
      </c>
      <c r="R5" s="51">
        <v>56.1</v>
      </c>
      <c r="S5" s="51">
        <v>29.9</v>
      </c>
      <c r="T5" s="51">
        <v>0.7</v>
      </c>
      <c r="U5" s="51">
        <v>73.6</v>
      </c>
      <c r="V5" s="51" t="s">
        <v>781</v>
      </c>
    </row>
    <row r="6" s="51" customFormat="1" spans="1:22">
      <c r="A6" s="51" t="s">
        <v>778</v>
      </c>
      <c r="B6" s="51" t="s">
        <v>779</v>
      </c>
      <c r="C6" s="51" t="s">
        <v>780</v>
      </c>
      <c r="D6" s="51" t="s">
        <v>554</v>
      </c>
      <c r="E6" s="51" t="s">
        <v>22</v>
      </c>
      <c r="F6" s="51" t="s">
        <v>414</v>
      </c>
      <c r="G6" s="51">
        <v>62.6</v>
      </c>
      <c r="H6" s="51">
        <v>45.4</v>
      </c>
      <c r="I6" s="51">
        <v>42.6</v>
      </c>
      <c r="J6" s="51">
        <v>53.1</v>
      </c>
      <c r="K6" s="51">
        <v>43.3</v>
      </c>
      <c r="L6" s="51">
        <v>45.5</v>
      </c>
      <c r="M6" s="51">
        <v>43.1</v>
      </c>
      <c r="N6" s="51">
        <v>45.9</v>
      </c>
      <c r="O6" s="51">
        <v>42</v>
      </c>
      <c r="P6" s="51">
        <v>40.7</v>
      </c>
      <c r="Q6" s="51">
        <v>54</v>
      </c>
      <c r="R6" s="51">
        <v>39.6</v>
      </c>
      <c r="S6" s="51">
        <v>16.3</v>
      </c>
      <c r="T6" s="51">
        <v>1.2</v>
      </c>
      <c r="U6" s="51">
        <v>42.8</v>
      </c>
      <c r="V6" s="51" t="s">
        <v>781</v>
      </c>
    </row>
    <row r="7" s="51" customFormat="1" spans="1:22">
      <c r="A7" s="51" t="s">
        <v>778</v>
      </c>
      <c r="B7" s="51" t="s">
        <v>779</v>
      </c>
      <c r="C7" s="51" t="s">
        <v>780</v>
      </c>
      <c r="D7" s="51" t="s">
        <v>554</v>
      </c>
      <c r="E7" s="51" t="s">
        <v>22</v>
      </c>
      <c r="F7" s="51" t="s">
        <v>416</v>
      </c>
      <c r="G7" s="51">
        <v>62.9</v>
      </c>
      <c r="H7" s="51">
        <v>64</v>
      </c>
      <c r="I7" s="51">
        <v>57.7</v>
      </c>
      <c r="J7" s="51">
        <v>63.3</v>
      </c>
      <c r="K7" s="51">
        <v>56.4</v>
      </c>
      <c r="L7" s="51">
        <v>62.7</v>
      </c>
      <c r="M7" s="51">
        <v>57.9</v>
      </c>
      <c r="N7" s="51">
        <v>65.8</v>
      </c>
      <c r="O7" s="51">
        <v>56.8</v>
      </c>
      <c r="P7" s="51">
        <v>55.2</v>
      </c>
      <c r="Q7" s="51">
        <v>78.6</v>
      </c>
      <c r="R7" s="51">
        <v>52.8</v>
      </c>
      <c r="S7" s="51">
        <v>33.4</v>
      </c>
      <c r="T7" s="51">
        <v>0.2</v>
      </c>
      <c r="U7" s="51">
        <v>56.9</v>
      </c>
      <c r="V7" s="51" t="s">
        <v>781</v>
      </c>
    </row>
    <row r="8" s="50" customFormat="1" spans="1:22">
      <c r="A8" s="50" t="s">
        <v>761</v>
      </c>
      <c r="B8" s="50" t="s">
        <v>762</v>
      </c>
      <c r="C8" s="50" t="s">
        <v>763</v>
      </c>
      <c r="D8" s="50" t="s">
        <v>379</v>
      </c>
      <c r="E8" s="50" t="s">
        <v>764</v>
      </c>
      <c r="F8" s="50" t="s">
        <v>380</v>
      </c>
      <c r="G8" s="50" t="s">
        <v>765</v>
      </c>
      <c r="H8" s="50" t="s">
        <v>766</v>
      </c>
      <c r="I8" s="50" t="s">
        <v>767</v>
      </c>
      <c r="J8" s="50" t="s">
        <v>768</v>
      </c>
      <c r="K8" s="50" t="s">
        <v>769</v>
      </c>
      <c r="L8" s="50" t="s">
        <v>770</v>
      </c>
      <c r="M8" s="50" t="s">
        <v>771</v>
      </c>
      <c r="N8" s="50" t="s">
        <v>772</v>
      </c>
      <c r="O8" s="50" t="s">
        <v>773</v>
      </c>
      <c r="P8" s="50" t="s">
        <v>689</v>
      </c>
      <c r="Q8" s="50" t="s">
        <v>690</v>
      </c>
      <c r="R8" s="50" t="s">
        <v>774</v>
      </c>
      <c r="S8" s="50" t="s">
        <v>775</v>
      </c>
      <c r="T8" s="50" t="s">
        <v>776</v>
      </c>
      <c r="U8" s="50" t="s">
        <v>684</v>
      </c>
      <c r="V8" s="50" t="s">
        <v>777</v>
      </c>
    </row>
    <row r="9" s="51" customFormat="1" spans="1:22">
      <c r="A9" s="51" t="s">
        <v>778</v>
      </c>
      <c r="B9" s="51" t="s">
        <v>779</v>
      </c>
      <c r="C9" s="51" t="s">
        <v>780</v>
      </c>
      <c r="D9" s="51" t="s">
        <v>554</v>
      </c>
      <c r="E9" s="51" t="s">
        <v>137</v>
      </c>
      <c r="F9" s="51" t="s">
        <v>137</v>
      </c>
      <c r="G9" s="51">
        <v>48.8</v>
      </c>
      <c r="H9" s="51">
        <v>74.1</v>
      </c>
      <c r="I9" s="51">
        <v>67.7</v>
      </c>
      <c r="J9" s="51">
        <v>75.1</v>
      </c>
      <c r="K9" s="51">
        <v>68.6</v>
      </c>
      <c r="L9" s="51">
        <v>74.2</v>
      </c>
      <c r="M9" s="51">
        <v>68.2</v>
      </c>
      <c r="N9" s="51">
        <v>72.8</v>
      </c>
      <c r="O9" s="51">
        <v>66.8</v>
      </c>
      <c r="P9" s="51">
        <v>63.4</v>
      </c>
      <c r="Q9" s="51">
        <v>80.2</v>
      </c>
      <c r="R9" s="51">
        <v>62.8</v>
      </c>
      <c r="S9" s="51">
        <v>35.2</v>
      </c>
      <c r="T9" s="51">
        <v>2</v>
      </c>
      <c r="U9" s="51">
        <v>68.8</v>
      </c>
      <c r="V9" s="51" t="s">
        <v>781</v>
      </c>
    </row>
    <row r="10" s="51" customFormat="1" spans="1:22">
      <c r="A10" s="51" t="s">
        <v>778</v>
      </c>
      <c r="B10" s="51" t="s">
        <v>779</v>
      </c>
      <c r="C10" s="51" t="s">
        <v>780</v>
      </c>
      <c r="D10" s="51" t="s">
        <v>554</v>
      </c>
      <c r="E10" s="51" t="s">
        <v>137</v>
      </c>
      <c r="F10" s="51" t="s">
        <v>519</v>
      </c>
      <c r="G10" s="51">
        <v>80.6</v>
      </c>
      <c r="H10" s="51">
        <v>66.3</v>
      </c>
      <c r="I10" s="51">
        <v>61.9</v>
      </c>
      <c r="J10" s="51">
        <v>65.7</v>
      </c>
      <c r="K10" s="51">
        <v>62.1</v>
      </c>
      <c r="L10" s="51">
        <v>65.4</v>
      </c>
      <c r="M10" s="51">
        <v>61.4</v>
      </c>
      <c r="N10" s="51">
        <v>65</v>
      </c>
      <c r="O10" s="51">
        <v>61.7</v>
      </c>
      <c r="P10" s="51">
        <v>60.7</v>
      </c>
      <c r="Q10" s="51">
        <v>65</v>
      </c>
      <c r="R10" s="51">
        <v>59.7</v>
      </c>
      <c r="S10" s="51">
        <v>34.3</v>
      </c>
      <c r="T10" s="51">
        <v>4.8</v>
      </c>
      <c r="U10" s="51">
        <v>62</v>
      </c>
      <c r="V10" s="51" t="s">
        <v>781</v>
      </c>
    </row>
    <row r="11" s="51" customFormat="1" spans="1:22">
      <c r="A11" s="51" t="s">
        <v>778</v>
      </c>
      <c r="B11" s="51" t="s">
        <v>779</v>
      </c>
      <c r="C11" s="51" t="s">
        <v>780</v>
      </c>
      <c r="D11" s="51" t="s">
        <v>554</v>
      </c>
      <c r="E11" s="51" t="s">
        <v>137</v>
      </c>
      <c r="F11" s="51" t="s">
        <v>406</v>
      </c>
      <c r="G11" s="51">
        <v>27.9</v>
      </c>
      <c r="H11" s="51">
        <v>39.1</v>
      </c>
      <c r="I11" s="51">
        <v>37.9</v>
      </c>
      <c r="J11" s="51">
        <v>39</v>
      </c>
      <c r="K11" s="51">
        <v>38.1</v>
      </c>
      <c r="L11" s="51">
        <v>39</v>
      </c>
      <c r="M11" s="51">
        <v>37.9</v>
      </c>
      <c r="N11" s="51">
        <v>38.7</v>
      </c>
      <c r="O11" s="51">
        <v>36.2</v>
      </c>
      <c r="P11" s="51">
        <v>36.4</v>
      </c>
      <c r="Q11" s="51">
        <v>34</v>
      </c>
      <c r="R11" s="51">
        <v>36.6</v>
      </c>
      <c r="S11" s="51">
        <v>13.4</v>
      </c>
      <c r="T11" s="51">
        <v>1.8</v>
      </c>
      <c r="U11" s="51">
        <v>38</v>
      </c>
      <c r="V11" s="51" t="s">
        <v>781</v>
      </c>
    </row>
    <row r="12" s="51" customFormat="1" spans="1:22">
      <c r="A12" s="51" t="s">
        <v>778</v>
      </c>
      <c r="B12" s="51" t="s">
        <v>779</v>
      </c>
      <c r="C12" s="51" t="s">
        <v>780</v>
      </c>
      <c r="D12" s="51" t="s">
        <v>554</v>
      </c>
      <c r="E12" s="51" t="s">
        <v>137</v>
      </c>
      <c r="F12" s="51" t="s">
        <v>527</v>
      </c>
      <c r="G12" s="51">
        <v>39</v>
      </c>
      <c r="H12" s="51">
        <v>40.3</v>
      </c>
      <c r="I12" s="51">
        <v>37.8</v>
      </c>
      <c r="J12" s="51">
        <v>39.3</v>
      </c>
      <c r="K12" s="51">
        <v>36.9</v>
      </c>
      <c r="L12" s="51">
        <v>39.6</v>
      </c>
      <c r="M12" s="51">
        <v>37.2</v>
      </c>
      <c r="N12" s="51">
        <v>35</v>
      </c>
      <c r="O12" s="51">
        <v>32.5</v>
      </c>
      <c r="P12" s="51">
        <v>67.9</v>
      </c>
      <c r="Q12" s="51">
        <v>36.3</v>
      </c>
      <c r="R12" s="51">
        <v>32.7</v>
      </c>
      <c r="S12" s="51">
        <v>16.7</v>
      </c>
      <c r="T12" s="51">
        <v>0.8</v>
      </c>
      <c r="U12" s="51">
        <v>38.2</v>
      </c>
      <c r="V12" s="51" t="s">
        <v>781</v>
      </c>
    </row>
    <row r="13" s="51" customFormat="1" spans="1:22">
      <c r="A13" s="51" t="s">
        <v>778</v>
      </c>
      <c r="B13" s="51" t="s">
        <v>779</v>
      </c>
      <c r="C13" s="51" t="s">
        <v>780</v>
      </c>
      <c r="D13" s="51" t="s">
        <v>554</v>
      </c>
      <c r="E13" s="51" t="s">
        <v>137</v>
      </c>
      <c r="F13" s="51" t="s">
        <v>412</v>
      </c>
      <c r="G13" s="51">
        <v>31.9</v>
      </c>
      <c r="H13" s="51">
        <v>50.6</v>
      </c>
      <c r="I13" s="51">
        <v>48.6</v>
      </c>
      <c r="J13" s="51">
        <v>50.6</v>
      </c>
      <c r="K13" s="51">
        <v>48.8</v>
      </c>
      <c r="L13" s="51">
        <v>64.4</v>
      </c>
      <c r="M13" s="51">
        <v>47.8</v>
      </c>
      <c r="N13" s="51">
        <v>37.6</v>
      </c>
      <c r="O13" s="51">
        <v>35.6</v>
      </c>
      <c r="P13" s="51">
        <v>44.5</v>
      </c>
      <c r="Q13" s="51">
        <v>49.8</v>
      </c>
      <c r="R13" s="51">
        <v>40.3</v>
      </c>
      <c r="S13" s="51">
        <v>22.3</v>
      </c>
      <c r="T13" s="51">
        <v>1.1</v>
      </c>
      <c r="U13" s="51">
        <v>48.3</v>
      </c>
      <c r="V13" s="51" t="s">
        <v>781</v>
      </c>
    </row>
    <row r="14" s="51" customFormat="1" spans="1:22">
      <c r="A14" s="51" t="s">
        <v>778</v>
      </c>
      <c r="B14" s="51" t="s">
        <v>779</v>
      </c>
      <c r="C14" s="51" t="s">
        <v>780</v>
      </c>
      <c r="D14" s="51" t="s">
        <v>554</v>
      </c>
      <c r="E14" s="51" t="s">
        <v>137</v>
      </c>
      <c r="F14" s="51" t="s">
        <v>537</v>
      </c>
      <c r="G14" s="51">
        <v>32.9</v>
      </c>
      <c r="H14" s="51">
        <v>29.5</v>
      </c>
      <c r="I14" s="51">
        <v>28.5</v>
      </c>
      <c r="J14" s="51">
        <v>30.1</v>
      </c>
      <c r="K14" s="51">
        <v>28.2</v>
      </c>
      <c r="L14" s="51">
        <v>30.1</v>
      </c>
      <c r="M14" s="51">
        <v>28.1</v>
      </c>
      <c r="N14" s="51">
        <v>28.8</v>
      </c>
      <c r="O14" s="51">
        <v>26.6</v>
      </c>
      <c r="P14" s="51">
        <v>29</v>
      </c>
      <c r="Q14" s="51">
        <v>32.8</v>
      </c>
      <c r="R14" s="51">
        <v>28.8</v>
      </c>
      <c r="S14" s="51">
        <v>14.3</v>
      </c>
      <c r="T14" s="51">
        <v>0.3</v>
      </c>
      <c r="U14" s="51">
        <v>28</v>
      </c>
      <c r="V14" s="51" t="s">
        <v>781</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0"/>
  <sheetViews>
    <sheetView workbookViewId="0">
      <selection activeCell="F9" sqref="F9"/>
    </sheetView>
  </sheetViews>
  <sheetFormatPr defaultColWidth="8.90909090909091" defaultRowHeight="14.5" outlineLevelCol="7"/>
  <cols>
    <col min="1" max="1" width="22.6363636363636" style="1" customWidth="1"/>
    <col min="2" max="2" width="26.3636363636364" style="1" customWidth="1"/>
    <col min="3" max="3" width="15.1818181818182" style="1" customWidth="1"/>
    <col min="4" max="4" width="26.4545454545455" style="1" customWidth="1"/>
    <col min="5" max="5" width="15.4545454545455" style="1" customWidth="1"/>
    <col min="6" max="6" width="28.3636363636364" style="1" customWidth="1"/>
    <col min="7" max="7" width="15.6363636363636" style="1" customWidth="1"/>
    <col min="8" max="8" width="8.90909090909091" style="1"/>
    <col min="9" max="9" width="15.0909090909091" style="1" customWidth="1"/>
    <col min="10" max="10" width="16.5454545454545" style="1" customWidth="1"/>
    <col min="11" max="13" width="15.8181818181818" style="2" customWidth="1"/>
  </cols>
  <sheetData>
    <row r="1" ht="18.5" spans="1:5">
      <c r="A1" s="3" t="s">
        <v>782</v>
      </c>
      <c r="B1" s="3"/>
      <c r="D1" s="3" t="s">
        <v>783</v>
      </c>
      <c r="E1" s="3"/>
    </row>
    <row r="2" spans="1:5">
      <c r="A2" s="4" t="s">
        <v>784</v>
      </c>
      <c r="B2" s="4" t="s">
        <v>785</v>
      </c>
      <c r="D2" s="4" t="s">
        <v>784</v>
      </c>
      <c r="E2" s="4"/>
    </row>
    <row r="3" spans="1:5">
      <c r="A3" s="5" t="s">
        <v>786</v>
      </c>
      <c r="B3" s="6">
        <v>142</v>
      </c>
      <c r="D3" s="5" t="s">
        <v>787</v>
      </c>
      <c r="E3" s="5" t="s">
        <v>788</v>
      </c>
    </row>
    <row r="4" spans="1:5">
      <c r="A4" s="7" t="s">
        <v>789</v>
      </c>
      <c r="B4" s="8">
        <v>11.1</v>
      </c>
      <c r="D4" s="7" t="s">
        <v>790</v>
      </c>
      <c r="E4" s="7">
        <v>106</v>
      </c>
    </row>
    <row r="5" spans="1:5">
      <c r="A5" s="5" t="s">
        <v>791</v>
      </c>
      <c r="B5" s="9">
        <v>0.82</v>
      </c>
      <c r="D5" s="5" t="s">
        <v>792</v>
      </c>
      <c r="E5" s="5">
        <v>410</v>
      </c>
    </row>
    <row r="6" ht="29" spans="1:5">
      <c r="A6" s="7" t="s">
        <v>793</v>
      </c>
      <c r="B6" s="10">
        <v>0.97</v>
      </c>
      <c r="D6" s="7" t="s">
        <v>794</v>
      </c>
      <c r="E6" s="11">
        <v>0.01</v>
      </c>
    </row>
    <row r="7" spans="1:5">
      <c r="A7" s="5" t="s">
        <v>795</v>
      </c>
      <c r="B7" s="12">
        <v>0.706</v>
      </c>
      <c r="D7" s="5" t="s">
        <v>796</v>
      </c>
      <c r="E7" s="5">
        <v>19</v>
      </c>
    </row>
    <row r="8" ht="29" spans="1:5">
      <c r="A8" s="7" t="s">
        <v>797</v>
      </c>
      <c r="B8" s="13">
        <v>0.804</v>
      </c>
      <c r="D8" s="7" t="s">
        <v>798</v>
      </c>
      <c r="E8" s="7">
        <v>161</v>
      </c>
    </row>
    <row r="9" ht="29" spans="1:5">
      <c r="A9" s="5" t="s">
        <v>799</v>
      </c>
      <c r="B9" s="9">
        <v>0</v>
      </c>
      <c r="D9" s="5" t="s">
        <v>800</v>
      </c>
      <c r="E9" s="14">
        <v>0.39</v>
      </c>
    </row>
    <row r="10" spans="1:5">
      <c r="A10" s="7" t="s">
        <v>801</v>
      </c>
      <c r="B10" s="8">
        <v>0</v>
      </c>
      <c r="D10" s="7" t="s">
        <v>802</v>
      </c>
      <c r="E10" s="7">
        <v>3</v>
      </c>
    </row>
    <row r="11" spans="1:5">
      <c r="A11" s="5" t="s">
        <v>803</v>
      </c>
      <c r="B11" s="6">
        <v>1</v>
      </c>
      <c r="D11" s="5" t="s">
        <v>804</v>
      </c>
      <c r="E11" s="5">
        <v>5</v>
      </c>
    </row>
    <row r="12" spans="1:5">
      <c r="A12" s="7" t="s">
        <v>805</v>
      </c>
      <c r="B12" s="8">
        <v>3</v>
      </c>
      <c r="D12" s="7" t="s">
        <v>806</v>
      </c>
      <c r="E12" s="7">
        <v>11.6</v>
      </c>
    </row>
    <row r="13" ht="29" spans="1:5">
      <c r="A13" s="5" t="s">
        <v>807</v>
      </c>
      <c r="B13" s="6">
        <v>14.5</v>
      </c>
      <c r="D13" s="5" t="s">
        <v>808</v>
      </c>
      <c r="E13" s="5">
        <v>11</v>
      </c>
    </row>
    <row r="14" spans="1:5">
      <c r="A14" s="7" t="s">
        <v>809</v>
      </c>
      <c r="B14" s="10">
        <v>0</v>
      </c>
      <c r="D14" s="7" t="s">
        <v>810</v>
      </c>
      <c r="E14" s="11">
        <v>0.92</v>
      </c>
    </row>
    <row r="15" ht="29" spans="1:5">
      <c r="A15" s="5" t="s">
        <v>811</v>
      </c>
      <c r="B15" s="9">
        <v>0.78</v>
      </c>
      <c r="D15" s="5" t="s">
        <v>812</v>
      </c>
      <c r="E15" s="5">
        <v>15</v>
      </c>
    </row>
    <row r="16" spans="1:5">
      <c r="A16" s="15"/>
      <c r="B16" s="15"/>
      <c r="D16" s="7" t="s">
        <v>813</v>
      </c>
      <c r="E16" s="11">
        <v>0.14</v>
      </c>
    </row>
    <row r="17" spans="1:8">
      <c r="A17" s="15"/>
      <c r="B17" s="15"/>
      <c r="D17" s="5" t="s">
        <v>814</v>
      </c>
      <c r="E17" s="5">
        <v>10.9</v>
      </c>
    </row>
    <row r="18" ht="29" spans="1:8">
      <c r="A18" s="15"/>
      <c r="B18" s="15"/>
      <c r="D18" s="7" t="s">
        <v>815</v>
      </c>
      <c r="E18" s="7">
        <v>63</v>
      </c>
    </row>
    <row r="19" spans="1:8">
      <c r="A19" s="15"/>
      <c r="B19" s="15"/>
    </row>
    <row r="20" spans="1:8">
      <c r="A20" s="15"/>
      <c r="B20" s="15"/>
    </row>
    <row r="21" spans="1:8">
      <c r="A21" s="15"/>
      <c r="B21" s="15"/>
    </row>
    <row r="22" spans="1:8">
      <c r="A22" s="15"/>
      <c r="B22" s="15"/>
      <c r="G22" s="16"/>
      <c r="H22" s="17"/>
    </row>
    <row r="23" ht="44.25" spans="1:8">
      <c r="A23" s="18" t="s">
        <v>477</v>
      </c>
      <c r="B23" s="18" t="s">
        <v>816</v>
      </c>
      <c r="C23" s="18" t="s">
        <v>817</v>
      </c>
      <c r="D23" s="18" t="s">
        <v>818</v>
      </c>
      <c r="E23" s="18" t="s">
        <v>819</v>
      </c>
    </row>
    <row r="24" spans="1:8">
      <c r="A24" s="19" t="s">
        <v>22</v>
      </c>
      <c r="B24" s="20" t="s">
        <v>820</v>
      </c>
      <c r="C24" s="21">
        <v>39</v>
      </c>
      <c r="D24" s="21">
        <v>0</v>
      </c>
      <c r="E24" s="21">
        <v>0</v>
      </c>
    </row>
    <row r="25" spans="1:8">
      <c r="A25" s="22"/>
      <c r="B25" s="23" t="s">
        <v>821</v>
      </c>
      <c r="C25" s="24">
        <v>0</v>
      </c>
      <c r="D25" s="24">
        <v>0</v>
      </c>
      <c r="E25" s="24">
        <v>8</v>
      </c>
    </row>
    <row r="26" spans="1:8">
      <c r="A26" s="22"/>
      <c r="B26" s="25" t="s">
        <v>822</v>
      </c>
      <c r="C26" s="26">
        <v>0</v>
      </c>
      <c r="D26" s="26">
        <v>17</v>
      </c>
      <c r="E26" s="26">
        <v>0</v>
      </c>
    </row>
    <row r="27" spans="1:8">
      <c r="A27" s="27" t="s">
        <v>395</v>
      </c>
      <c r="B27" s="23" t="s">
        <v>820</v>
      </c>
      <c r="C27" s="24">
        <v>0</v>
      </c>
      <c r="D27" s="24">
        <v>4</v>
      </c>
      <c r="E27" s="24">
        <v>4</v>
      </c>
    </row>
    <row r="28" spans="1:8">
      <c r="A28" s="27"/>
      <c r="B28" s="25" t="s">
        <v>821</v>
      </c>
      <c r="C28" s="26">
        <v>0</v>
      </c>
      <c r="D28" s="26">
        <v>3</v>
      </c>
      <c r="E28" s="26">
        <v>6</v>
      </c>
    </row>
    <row r="29" spans="1:8">
      <c r="A29" s="27"/>
      <c r="B29" s="23" t="s">
        <v>822</v>
      </c>
      <c r="C29" s="24">
        <v>0</v>
      </c>
      <c r="D29" s="24">
        <v>3</v>
      </c>
      <c r="E29" s="24">
        <v>4</v>
      </c>
    </row>
    <row r="30" spans="1:8">
      <c r="A30" s="22" t="s">
        <v>406</v>
      </c>
      <c r="B30" s="25" t="s">
        <v>820</v>
      </c>
      <c r="C30" s="26">
        <v>3</v>
      </c>
      <c r="D30" s="26">
        <v>0</v>
      </c>
      <c r="E30" s="26">
        <v>1</v>
      </c>
    </row>
    <row r="31" spans="1:8">
      <c r="A31" s="22"/>
      <c r="B31" s="23" t="s">
        <v>821</v>
      </c>
      <c r="C31" s="24">
        <v>26</v>
      </c>
      <c r="D31" s="24">
        <v>0</v>
      </c>
      <c r="E31" s="24">
        <v>2</v>
      </c>
    </row>
    <row r="32" spans="1:8">
      <c r="A32" s="22"/>
      <c r="B32" s="25" t="s">
        <v>822</v>
      </c>
      <c r="C32" s="26">
        <v>36</v>
      </c>
      <c r="D32" s="26">
        <v>0</v>
      </c>
      <c r="E32" s="26">
        <v>0</v>
      </c>
    </row>
    <row r="33" spans="1:5">
      <c r="A33" s="27" t="s">
        <v>414</v>
      </c>
      <c r="B33" s="23" t="s">
        <v>823</v>
      </c>
      <c r="C33" s="24">
        <v>26</v>
      </c>
      <c r="D33" s="24" t="s">
        <v>824</v>
      </c>
      <c r="E33" s="24" t="s">
        <v>824</v>
      </c>
    </row>
    <row r="34" spans="1:5">
      <c r="A34" s="27"/>
      <c r="B34" s="25" t="s">
        <v>820</v>
      </c>
      <c r="C34" s="26">
        <v>0</v>
      </c>
      <c r="D34" s="26">
        <v>3</v>
      </c>
      <c r="E34" s="26">
        <v>6</v>
      </c>
    </row>
    <row r="35" spans="1:5">
      <c r="A35" s="27"/>
      <c r="B35" s="23" t="s">
        <v>821</v>
      </c>
      <c r="C35" s="24">
        <v>0</v>
      </c>
      <c r="D35" s="24">
        <v>2</v>
      </c>
      <c r="E35" s="24">
        <v>8</v>
      </c>
    </row>
    <row r="36" spans="1:5">
      <c r="A36" s="27"/>
      <c r="B36" s="25" t="s">
        <v>822</v>
      </c>
      <c r="C36" s="26">
        <v>0</v>
      </c>
      <c r="D36" s="26">
        <v>2</v>
      </c>
      <c r="E36" s="26">
        <v>8</v>
      </c>
    </row>
    <row r="37" spans="1:5">
      <c r="A37" s="22" t="s">
        <v>416</v>
      </c>
      <c r="B37" s="23" t="s">
        <v>820</v>
      </c>
      <c r="C37" s="24">
        <v>21</v>
      </c>
      <c r="D37" s="24">
        <v>0</v>
      </c>
      <c r="E37" s="24">
        <v>5</v>
      </c>
    </row>
    <row r="38" spans="1:5">
      <c r="A38" s="22"/>
      <c r="B38" s="25" t="s">
        <v>821</v>
      </c>
      <c r="C38" s="26">
        <v>1</v>
      </c>
      <c r="D38" s="26">
        <v>0</v>
      </c>
      <c r="E38" s="26">
        <v>0</v>
      </c>
    </row>
    <row r="39" spans="1:5">
      <c r="A39" s="22"/>
      <c r="B39" s="23" t="s">
        <v>822</v>
      </c>
      <c r="C39" s="24">
        <v>0</v>
      </c>
      <c r="D39" s="24">
        <v>0</v>
      </c>
      <c r="E39" s="24">
        <v>2</v>
      </c>
    </row>
    <row r="40" spans="1:5">
      <c r="A40" s="27" t="s">
        <v>137</v>
      </c>
      <c r="B40" s="25" t="s">
        <v>823</v>
      </c>
      <c r="C40" s="26">
        <v>25</v>
      </c>
      <c r="D40" s="26" t="s">
        <v>824</v>
      </c>
      <c r="E40" s="26" t="s">
        <v>824</v>
      </c>
    </row>
    <row r="41" spans="1:5">
      <c r="A41" s="27"/>
      <c r="B41" s="23" t="s">
        <v>820</v>
      </c>
      <c r="C41" s="24">
        <v>0</v>
      </c>
      <c r="D41" s="24">
        <v>3</v>
      </c>
      <c r="E41" s="24">
        <v>6</v>
      </c>
    </row>
    <row r="42" spans="1:5">
      <c r="A42" s="27"/>
      <c r="B42" s="25" t="s">
        <v>821</v>
      </c>
      <c r="C42" s="26">
        <v>0</v>
      </c>
      <c r="D42" s="26">
        <v>2</v>
      </c>
      <c r="E42" s="26">
        <v>8</v>
      </c>
    </row>
    <row r="43" spans="1:5">
      <c r="A43" s="27"/>
      <c r="B43" s="23" t="s">
        <v>822</v>
      </c>
      <c r="C43" s="24">
        <v>0</v>
      </c>
      <c r="D43" s="24">
        <v>2</v>
      </c>
      <c r="E43" s="24">
        <v>8</v>
      </c>
    </row>
    <row r="44" spans="1:5">
      <c r="A44" s="22" t="s">
        <v>825</v>
      </c>
      <c r="B44" s="25" t="s">
        <v>820</v>
      </c>
      <c r="C44" s="26">
        <v>7</v>
      </c>
      <c r="D44" s="26">
        <v>0</v>
      </c>
      <c r="E44" s="26">
        <v>0</v>
      </c>
    </row>
    <row r="45" spans="1:5">
      <c r="A45" s="22"/>
      <c r="B45" s="23" t="s">
        <v>821</v>
      </c>
      <c r="C45" s="24">
        <v>11</v>
      </c>
      <c r="D45" s="24">
        <v>0</v>
      </c>
      <c r="E45" s="24">
        <v>0</v>
      </c>
    </row>
    <row r="46" spans="1:5">
      <c r="A46" s="22"/>
      <c r="B46" s="25" t="s">
        <v>822</v>
      </c>
      <c r="C46" s="26">
        <v>12</v>
      </c>
      <c r="D46" s="26">
        <v>4</v>
      </c>
      <c r="E46" s="26">
        <v>9</v>
      </c>
    </row>
    <row r="47" spans="1:5">
      <c r="A47" s="27" t="s">
        <v>527</v>
      </c>
      <c r="B47" s="23" t="s">
        <v>820</v>
      </c>
      <c r="C47" s="24">
        <v>7</v>
      </c>
      <c r="D47" s="24">
        <v>0</v>
      </c>
      <c r="E47" s="24">
        <v>0</v>
      </c>
    </row>
    <row r="48" spans="1:5">
      <c r="A48" s="27"/>
      <c r="B48" s="25" t="s">
        <v>821</v>
      </c>
      <c r="C48" s="26">
        <v>4</v>
      </c>
      <c r="D48" s="26">
        <v>0</v>
      </c>
      <c r="E48" s="26">
        <v>3</v>
      </c>
    </row>
    <row r="49" spans="1:7">
      <c r="A49" s="27"/>
      <c r="B49" s="23" t="s">
        <v>822</v>
      </c>
      <c r="C49" s="24">
        <v>0</v>
      </c>
      <c r="D49" s="24">
        <v>0</v>
      </c>
      <c r="E49" s="24">
        <v>3</v>
      </c>
    </row>
    <row r="50" spans="1:7">
      <c r="A50" s="22" t="s">
        <v>412</v>
      </c>
      <c r="B50" s="25" t="s">
        <v>820</v>
      </c>
      <c r="C50" s="26">
        <v>3</v>
      </c>
      <c r="D50" s="26">
        <v>0</v>
      </c>
      <c r="E50" s="26">
        <v>3</v>
      </c>
    </row>
    <row r="51" spans="1:7">
      <c r="A51" s="22"/>
      <c r="B51" s="23" t="s">
        <v>821</v>
      </c>
      <c r="C51" s="24">
        <v>3</v>
      </c>
      <c r="D51" s="24">
        <v>3</v>
      </c>
      <c r="E51" s="24">
        <v>3</v>
      </c>
    </row>
    <row r="52" spans="1:7">
      <c r="A52" s="22"/>
      <c r="B52" s="25" t="s">
        <v>822</v>
      </c>
      <c r="C52" s="26">
        <v>3</v>
      </c>
      <c r="D52" s="26">
        <v>3</v>
      </c>
      <c r="E52" s="26">
        <v>3</v>
      </c>
    </row>
    <row r="53" spans="1:7">
      <c r="A53" s="27" t="s">
        <v>537</v>
      </c>
      <c r="B53" s="23" t="s">
        <v>820</v>
      </c>
      <c r="C53" s="24">
        <v>22</v>
      </c>
      <c r="D53" s="24">
        <v>0</v>
      </c>
      <c r="E53" s="24">
        <v>0</v>
      </c>
    </row>
    <row r="54" spans="1:7">
      <c r="A54" s="27"/>
      <c r="B54" s="25" t="s">
        <v>821</v>
      </c>
      <c r="C54" s="26">
        <v>27</v>
      </c>
      <c r="D54" s="26">
        <v>0</v>
      </c>
      <c r="E54" s="26">
        <v>0</v>
      </c>
    </row>
    <row r="55" spans="1:7">
      <c r="A55" s="27"/>
      <c r="B55" s="23" t="s">
        <v>822</v>
      </c>
      <c r="C55" s="24">
        <v>9</v>
      </c>
      <c r="D55" s="24">
        <v>0</v>
      </c>
      <c r="E55" s="24">
        <v>0</v>
      </c>
    </row>
    <row r="56" spans="1:7">
      <c r="A56" s="22" t="s">
        <v>410</v>
      </c>
      <c r="B56" s="25" t="s">
        <v>820</v>
      </c>
      <c r="C56" s="26">
        <v>2</v>
      </c>
      <c r="D56" s="26">
        <v>0</v>
      </c>
      <c r="E56" s="26">
        <v>0</v>
      </c>
    </row>
    <row r="57" spans="1:7">
      <c r="A57" s="22"/>
      <c r="B57" s="23" t="s">
        <v>821</v>
      </c>
      <c r="C57" s="24">
        <v>8</v>
      </c>
      <c r="D57" s="24">
        <v>2</v>
      </c>
      <c r="E57" s="24">
        <v>0</v>
      </c>
    </row>
    <row r="58" spans="1:7">
      <c r="A58" s="28"/>
      <c r="B58" s="29" t="s">
        <v>822</v>
      </c>
      <c r="C58" s="30">
        <v>12</v>
      </c>
      <c r="D58" s="30">
        <v>0</v>
      </c>
      <c r="E58" s="30">
        <v>0</v>
      </c>
    </row>
    <row r="62" ht="18.5" spans="1:7">
      <c r="A62" s="31" t="s">
        <v>826</v>
      </c>
      <c r="B62" s="31" t="s">
        <v>827</v>
      </c>
      <c r="C62" s="31" t="s">
        <v>828</v>
      </c>
      <c r="D62" s="31" t="s">
        <v>829</v>
      </c>
      <c r="E62" s="31" t="s">
        <v>830</v>
      </c>
      <c r="F62" s="31" t="s">
        <v>831</v>
      </c>
      <c r="G62" s="31" t="s">
        <v>830</v>
      </c>
    </row>
    <row r="63" spans="1:7">
      <c r="A63" s="32" t="s">
        <v>22</v>
      </c>
      <c r="B63" s="33" t="s">
        <v>832</v>
      </c>
      <c r="C63" s="33" t="s">
        <v>833</v>
      </c>
      <c r="D63" s="33" t="s">
        <v>834</v>
      </c>
      <c r="E63" s="32" t="s">
        <v>835</v>
      </c>
      <c r="F63" s="33" t="s">
        <v>836</v>
      </c>
      <c r="G63" s="32" t="s">
        <v>837</v>
      </c>
    </row>
    <row r="64" spans="1:7">
      <c r="A64" s="34" t="s">
        <v>22</v>
      </c>
      <c r="B64" s="35" t="s">
        <v>838</v>
      </c>
      <c r="C64" s="35" t="s">
        <v>833</v>
      </c>
      <c r="D64" s="35" t="s">
        <v>839</v>
      </c>
      <c r="E64" s="34" t="s">
        <v>835</v>
      </c>
      <c r="F64" s="36" t="s">
        <v>840</v>
      </c>
      <c r="G64" s="34" t="s">
        <v>837</v>
      </c>
    </row>
    <row r="65" spans="1:7">
      <c r="A65" s="34" t="s">
        <v>22</v>
      </c>
      <c r="B65" s="35" t="s">
        <v>841</v>
      </c>
      <c r="C65" s="35" t="s">
        <v>833</v>
      </c>
      <c r="D65" s="35" t="s">
        <v>842</v>
      </c>
      <c r="E65" s="34" t="s">
        <v>835</v>
      </c>
      <c r="F65" s="36" t="s">
        <v>843</v>
      </c>
      <c r="G65" s="34" t="s">
        <v>837</v>
      </c>
    </row>
    <row r="66" spans="1:7">
      <c r="A66" s="34" t="s">
        <v>22</v>
      </c>
      <c r="B66" s="35" t="s">
        <v>844</v>
      </c>
      <c r="C66" s="35" t="s">
        <v>833</v>
      </c>
      <c r="D66" s="35" t="s">
        <v>845</v>
      </c>
      <c r="E66" s="34" t="s">
        <v>835</v>
      </c>
      <c r="F66" s="36" t="s">
        <v>846</v>
      </c>
      <c r="G66" s="34" t="s">
        <v>837</v>
      </c>
    </row>
    <row r="67" spans="1:7">
      <c r="A67" s="34" t="s">
        <v>22</v>
      </c>
      <c r="B67" s="35" t="s">
        <v>847</v>
      </c>
      <c r="C67" s="35" t="s">
        <v>833</v>
      </c>
      <c r="D67" s="35" t="s">
        <v>848</v>
      </c>
      <c r="E67" s="34" t="s">
        <v>835</v>
      </c>
      <c r="F67" s="36" t="s">
        <v>849</v>
      </c>
      <c r="G67" s="34" t="s">
        <v>837</v>
      </c>
    </row>
    <row r="68" spans="1:7">
      <c r="A68" s="34" t="s">
        <v>22</v>
      </c>
      <c r="B68" s="35" t="s">
        <v>850</v>
      </c>
      <c r="C68" s="35" t="s">
        <v>833</v>
      </c>
      <c r="D68" s="35" t="s">
        <v>845</v>
      </c>
      <c r="E68" s="34" t="s">
        <v>835</v>
      </c>
      <c r="F68" s="36" t="s">
        <v>851</v>
      </c>
      <c r="G68" s="34" t="s">
        <v>837</v>
      </c>
    </row>
    <row r="69" spans="1:7">
      <c r="A69" s="34" t="s">
        <v>22</v>
      </c>
      <c r="B69" s="35" t="s">
        <v>852</v>
      </c>
      <c r="C69" s="35" t="s">
        <v>833</v>
      </c>
      <c r="D69" s="35" t="s">
        <v>845</v>
      </c>
      <c r="E69" s="34" t="s">
        <v>835</v>
      </c>
      <c r="F69" s="35" t="s">
        <v>853</v>
      </c>
      <c r="G69" s="34" t="s">
        <v>837</v>
      </c>
    </row>
    <row r="70" spans="1:7">
      <c r="A70" s="34" t="s">
        <v>22</v>
      </c>
      <c r="B70" s="35" t="s">
        <v>854</v>
      </c>
      <c r="C70" s="35" t="s">
        <v>833</v>
      </c>
      <c r="D70" s="35" t="s">
        <v>839</v>
      </c>
      <c r="E70" s="34" t="s">
        <v>835</v>
      </c>
      <c r="F70" s="35" t="s">
        <v>855</v>
      </c>
      <c r="G70" s="34" t="s">
        <v>837</v>
      </c>
    </row>
    <row r="71" spans="1:7">
      <c r="A71" s="34" t="s">
        <v>22</v>
      </c>
      <c r="B71" s="35" t="s">
        <v>856</v>
      </c>
      <c r="C71" s="35" t="s">
        <v>833</v>
      </c>
      <c r="D71" s="34"/>
      <c r="E71" s="34"/>
      <c r="F71" s="35" t="s">
        <v>857</v>
      </c>
      <c r="G71" s="34" t="s">
        <v>837</v>
      </c>
    </row>
    <row r="72" spans="1:7">
      <c r="A72" s="34" t="s">
        <v>22</v>
      </c>
      <c r="B72" s="35" t="s">
        <v>858</v>
      </c>
      <c r="C72" s="35" t="s">
        <v>833</v>
      </c>
      <c r="D72" s="34"/>
      <c r="E72" s="34"/>
      <c r="F72" s="35" t="s">
        <v>859</v>
      </c>
      <c r="G72" s="34" t="s">
        <v>837</v>
      </c>
    </row>
    <row r="73" spans="1:7">
      <c r="A73" s="34" t="s">
        <v>22</v>
      </c>
      <c r="B73" s="35" t="s">
        <v>860</v>
      </c>
      <c r="C73" s="35" t="s">
        <v>833</v>
      </c>
      <c r="D73" s="34"/>
      <c r="E73" s="34"/>
      <c r="F73" s="35" t="s">
        <v>861</v>
      </c>
      <c r="G73" s="34" t="s">
        <v>837</v>
      </c>
    </row>
    <row r="74" spans="1:7">
      <c r="A74" s="34" t="s">
        <v>22</v>
      </c>
      <c r="B74" s="35" t="s">
        <v>862</v>
      </c>
      <c r="C74" s="35" t="s">
        <v>833</v>
      </c>
      <c r="D74" s="34"/>
      <c r="E74" s="34"/>
      <c r="F74" s="35" t="s">
        <v>863</v>
      </c>
      <c r="G74" s="34" t="s">
        <v>837</v>
      </c>
    </row>
    <row r="75" spans="1:7">
      <c r="A75" s="34" t="s">
        <v>22</v>
      </c>
      <c r="B75" s="35" t="s">
        <v>864</v>
      </c>
      <c r="C75" s="35" t="s">
        <v>833</v>
      </c>
      <c r="D75" s="34"/>
      <c r="E75" s="34"/>
      <c r="F75" s="35" t="s">
        <v>865</v>
      </c>
      <c r="G75" s="34" t="s">
        <v>837</v>
      </c>
    </row>
    <row r="76" spans="1:7">
      <c r="A76" s="34" t="s">
        <v>22</v>
      </c>
      <c r="B76" s="35" t="s">
        <v>866</v>
      </c>
      <c r="C76" s="35" t="s">
        <v>833</v>
      </c>
      <c r="D76" s="34"/>
      <c r="E76" s="34"/>
      <c r="F76" s="35" t="s">
        <v>865</v>
      </c>
      <c r="G76" s="34" t="s">
        <v>837</v>
      </c>
    </row>
    <row r="77" spans="1:7">
      <c r="A77" s="34" t="s">
        <v>22</v>
      </c>
      <c r="B77" s="35" t="s">
        <v>867</v>
      </c>
      <c r="C77" s="35" t="s">
        <v>833</v>
      </c>
      <c r="D77" s="34"/>
      <c r="E77" s="34"/>
      <c r="F77" s="35" t="s">
        <v>868</v>
      </c>
      <c r="G77" s="34" t="s">
        <v>837</v>
      </c>
    </row>
    <row r="78" spans="1:7">
      <c r="A78" s="34" t="s">
        <v>22</v>
      </c>
      <c r="B78" s="35" t="s">
        <v>869</v>
      </c>
      <c r="C78" s="35" t="s">
        <v>833</v>
      </c>
      <c r="D78" s="34"/>
      <c r="E78" s="34"/>
      <c r="F78" s="35" t="s">
        <v>870</v>
      </c>
      <c r="G78" s="34" t="s">
        <v>837</v>
      </c>
    </row>
    <row r="79" spans="1:7">
      <c r="A79" s="34" t="s">
        <v>22</v>
      </c>
      <c r="B79" s="35" t="s">
        <v>871</v>
      </c>
      <c r="C79" s="35" t="s">
        <v>833</v>
      </c>
      <c r="D79" s="34"/>
      <c r="E79" s="34"/>
      <c r="F79" s="35" t="s">
        <v>872</v>
      </c>
      <c r="G79" s="34" t="s">
        <v>837</v>
      </c>
    </row>
    <row r="80" spans="1:7">
      <c r="A80" s="34" t="s">
        <v>22</v>
      </c>
      <c r="B80" s="35" t="s">
        <v>873</v>
      </c>
      <c r="C80" s="35" t="s">
        <v>833</v>
      </c>
      <c r="D80" s="34"/>
      <c r="E80" s="34"/>
      <c r="F80" s="34"/>
      <c r="G80" s="34"/>
    </row>
    <row r="81" ht="28" spans="1:7">
      <c r="A81" s="34" t="s">
        <v>22</v>
      </c>
      <c r="B81" s="35" t="s">
        <v>874</v>
      </c>
      <c r="C81" s="35" t="s">
        <v>833</v>
      </c>
      <c r="D81" s="34"/>
      <c r="E81" s="34"/>
      <c r="F81" s="34"/>
      <c r="G81" s="34"/>
    </row>
    <row r="82" spans="1:7">
      <c r="A82" s="34" t="s">
        <v>22</v>
      </c>
      <c r="B82" s="35" t="s">
        <v>875</v>
      </c>
      <c r="C82" s="35" t="s">
        <v>833</v>
      </c>
      <c r="D82" s="34"/>
      <c r="E82" s="34"/>
      <c r="F82" s="34"/>
      <c r="G82" s="34"/>
    </row>
    <row r="83" spans="1:7">
      <c r="A83" s="34" t="s">
        <v>22</v>
      </c>
      <c r="B83" s="35" t="s">
        <v>876</v>
      </c>
      <c r="C83" s="35" t="s">
        <v>833</v>
      </c>
      <c r="D83" s="34"/>
      <c r="E83" s="34"/>
      <c r="F83" s="34"/>
      <c r="G83" s="34"/>
    </row>
    <row r="84" spans="1:7">
      <c r="A84" s="34" t="s">
        <v>22</v>
      </c>
      <c r="B84" s="35" t="s">
        <v>877</v>
      </c>
      <c r="C84" s="35" t="s">
        <v>833</v>
      </c>
      <c r="D84" s="34"/>
      <c r="E84" s="34"/>
      <c r="F84" s="34"/>
      <c r="G84" s="34"/>
    </row>
    <row r="85" spans="1:7">
      <c r="A85" s="34" t="s">
        <v>22</v>
      </c>
      <c r="B85" s="35" t="s">
        <v>878</v>
      </c>
      <c r="C85" s="35" t="s">
        <v>833</v>
      </c>
      <c r="D85" s="34"/>
      <c r="E85" s="34"/>
      <c r="F85" s="34"/>
      <c r="G85" s="34"/>
    </row>
    <row r="86" spans="1:7">
      <c r="A86" s="34" t="s">
        <v>22</v>
      </c>
      <c r="B86" s="35" t="s">
        <v>879</v>
      </c>
      <c r="C86" s="35" t="s">
        <v>833</v>
      </c>
      <c r="D86" s="34"/>
      <c r="E86" s="34"/>
      <c r="F86" s="34"/>
      <c r="G86" s="34"/>
    </row>
    <row r="87" spans="1:7">
      <c r="A87" s="34" t="s">
        <v>22</v>
      </c>
      <c r="B87" s="35" t="s">
        <v>880</v>
      </c>
      <c r="C87" s="35" t="s">
        <v>833</v>
      </c>
      <c r="D87" s="34"/>
      <c r="E87" s="34"/>
      <c r="F87" s="34"/>
      <c r="G87" s="34"/>
    </row>
    <row r="88" spans="1:7">
      <c r="A88" s="34" t="s">
        <v>22</v>
      </c>
      <c r="B88" s="35" t="s">
        <v>881</v>
      </c>
      <c r="C88" s="35" t="s">
        <v>833</v>
      </c>
      <c r="D88" s="34"/>
      <c r="E88" s="34"/>
      <c r="F88" s="34"/>
      <c r="G88" s="34"/>
    </row>
    <row r="89" spans="1:7">
      <c r="A89" s="34" t="s">
        <v>22</v>
      </c>
      <c r="B89" s="35" t="s">
        <v>882</v>
      </c>
      <c r="C89" s="35" t="s">
        <v>833</v>
      </c>
      <c r="D89" s="34"/>
      <c r="E89" s="34"/>
      <c r="F89" s="34"/>
      <c r="G89" s="34"/>
    </row>
    <row r="90" spans="1:7">
      <c r="A90" s="34" t="s">
        <v>22</v>
      </c>
      <c r="B90" s="35" t="s">
        <v>883</v>
      </c>
      <c r="C90" s="35" t="s">
        <v>833</v>
      </c>
      <c r="D90" s="34"/>
      <c r="E90" s="34"/>
      <c r="F90" s="34"/>
      <c r="G90" s="34"/>
    </row>
    <row r="91" spans="1:7">
      <c r="A91" s="34" t="s">
        <v>22</v>
      </c>
      <c r="B91" s="35" t="s">
        <v>884</v>
      </c>
      <c r="C91" s="35" t="s">
        <v>833</v>
      </c>
      <c r="D91" s="34"/>
      <c r="E91" s="34"/>
      <c r="F91" s="34"/>
      <c r="G91" s="34"/>
    </row>
    <row r="92" spans="1:7">
      <c r="A92" s="34" t="s">
        <v>22</v>
      </c>
      <c r="B92" s="35" t="s">
        <v>885</v>
      </c>
      <c r="C92" s="35" t="s">
        <v>833</v>
      </c>
      <c r="D92" s="34"/>
      <c r="E92" s="34"/>
      <c r="F92" s="34"/>
      <c r="G92" s="34"/>
    </row>
    <row r="93" spans="1:7">
      <c r="A93" s="34" t="s">
        <v>22</v>
      </c>
      <c r="B93" s="35" t="s">
        <v>886</v>
      </c>
      <c r="C93" s="35" t="s">
        <v>833</v>
      </c>
      <c r="D93" s="34"/>
      <c r="E93" s="34"/>
      <c r="F93" s="34"/>
      <c r="G93" s="34"/>
    </row>
    <row r="94" spans="1:7">
      <c r="A94" s="34" t="s">
        <v>22</v>
      </c>
      <c r="B94" s="35" t="s">
        <v>887</v>
      </c>
      <c r="C94" s="35" t="s">
        <v>833</v>
      </c>
      <c r="D94" s="34"/>
      <c r="E94" s="34"/>
      <c r="F94" s="34"/>
      <c r="G94" s="34"/>
    </row>
    <row r="95" spans="1:7">
      <c r="A95" s="34" t="s">
        <v>22</v>
      </c>
      <c r="B95" s="35" t="s">
        <v>888</v>
      </c>
      <c r="C95" s="35" t="s">
        <v>833</v>
      </c>
      <c r="D95" s="34"/>
      <c r="E95" s="34"/>
      <c r="F95" s="34"/>
      <c r="G95" s="34"/>
    </row>
    <row r="96" spans="1:7">
      <c r="A96" s="34" t="s">
        <v>22</v>
      </c>
      <c r="B96" s="35" t="s">
        <v>889</v>
      </c>
      <c r="C96" s="35" t="s">
        <v>833</v>
      </c>
      <c r="D96" s="34"/>
      <c r="E96" s="34"/>
      <c r="F96" s="34"/>
      <c r="G96" s="34"/>
    </row>
    <row r="97" spans="1:7">
      <c r="A97" s="34" t="s">
        <v>22</v>
      </c>
      <c r="B97" s="35" t="s">
        <v>890</v>
      </c>
      <c r="C97" s="35" t="s">
        <v>833</v>
      </c>
      <c r="D97" s="34"/>
      <c r="E97" s="34"/>
      <c r="F97" s="34"/>
      <c r="G97" s="34"/>
    </row>
    <row r="98" spans="1:7">
      <c r="A98" s="34" t="s">
        <v>22</v>
      </c>
      <c r="B98" s="35" t="s">
        <v>891</v>
      </c>
      <c r="C98" s="35" t="s">
        <v>833</v>
      </c>
      <c r="D98" s="34"/>
      <c r="E98" s="34"/>
      <c r="F98" s="34"/>
      <c r="G98" s="34"/>
    </row>
    <row r="99" spans="1:7">
      <c r="A99" s="34" t="s">
        <v>22</v>
      </c>
      <c r="B99" s="35" t="s">
        <v>892</v>
      </c>
      <c r="C99" s="35" t="s">
        <v>833</v>
      </c>
      <c r="D99" s="34"/>
      <c r="E99" s="34"/>
      <c r="F99" s="34"/>
      <c r="G99" s="34"/>
    </row>
    <row r="100" spans="1:7">
      <c r="A100" s="34" t="s">
        <v>22</v>
      </c>
      <c r="B100" s="35" t="s">
        <v>893</v>
      </c>
      <c r="C100" s="35" t="s">
        <v>833</v>
      </c>
      <c r="D100" s="34"/>
      <c r="E100" s="34"/>
      <c r="F100" s="34"/>
      <c r="G100" s="34"/>
    </row>
    <row r="101" spans="1:7">
      <c r="A101" s="34" t="s">
        <v>22</v>
      </c>
      <c r="B101" s="35" t="s">
        <v>894</v>
      </c>
      <c r="C101" s="35" t="s">
        <v>833</v>
      </c>
      <c r="D101" s="34"/>
      <c r="E101" s="34"/>
      <c r="F101" s="34"/>
      <c r="G101" s="34"/>
    </row>
    <row r="102" spans="1:7">
      <c r="A102" s="32" t="s">
        <v>395</v>
      </c>
      <c r="B102" s="37" t="s">
        <v>895</v>
      </c>
      <c r="C102" s="33" t="s">
        <v>833</v>
      </c>
      <c r="D102" s="37" t="s">
        <v>896</v>
      </c>
      <c r="E102" s="32" t="s">
        <v>837</v>
      </c>
      <c r="F102" s="37" t="s">
        <v>897</v>
      </c>
      <c r="G102" s="32" t="s">
        <v>837</v>
      </c>
    </row>
    <row r="103" spans="1:7">
      <c r="A103" s="34" t="s">
        <v>395</v>
      </c>
      <c r="B103" s="36" t="s">
        <v>603</v>
      </c>
      <c r="C103" s="35" t="s">
        <v>833</v>
      </c>
      <c r="D103" s="38" t="s">
        <v>898</v>
      </c>
      <c r="E103" s="34" t="s">
        <v>837</v>
      </c>
      <c r="F103" s="38" t="s">
        <v>899</v>
      </c>
      <c r="G103" s="34" t="s">
        <v>837</v>
      </c>
    </row>
    <row r="104" spans="1:7">
      <c r="A104" s="34" t="s">
        <v>395</v>
      </c>
      <c r="B104" s="36" t="s">
        <v>900</v>
      </c>
      <c r="C104" s="35" t="s">
        <v>833</v>
      </c>
      <c r="D104" s="38" t="s">
        <v>901</v>
      </c>
      <c r="E104" s="34" t="s">
        <v>837</v>
      </c>
      <c r="F104" s="38" t="s">
        <v>902</v>
      </c>
      <c r="G104" s="34" t="s">
        <v>837</v>
      </c>
    </row>
    <row r="105" spans="1:7">
      <c r="A105" s="34" t="s">
        <v>395</v>
      </c>
      <c r="B105" s="36" t="s">
        <v>903</v>
      </c>
      <c r="C105" s="35" t="s">
        <v>833</v>
      </c>
      <c r="D105" s="39" t="s">
        <v>904</v>
      </c>
      <c r="E105" s="34" t="s">
        <v>905</v>
      </c>
      <c r="F105" s="39" t="s">
        <v>906</v>
      </c>
      <c r="G105" s="34" t="s">
        <v>905</v>
      </c>
    </row>
    <row r="106" spans="1:7">
      <c r="A106" s="34" t="s">
        <v>395</v>
      </c>
      <c r="B106" s="36" t="s">
        <v>907</v>
      </c>
      <c r="C106" s="35" t="s">
        <v>833</v>
      </c>
      <c r="D106" s="38" t="s">
        <v>908</v>
      </c>
      <c r="E106" s="34" t="s">
        <v>905</v>
      </c>
      <c r="F106" s="39" t="s">
        <v>909</v>
      </c>
      <c r="G106" s="34" t="s">
        <v>905</v>
      </c>
    </row>
    <row r="107" spans="1:7">
      <c r="A107" s="34" t="s">
        <v>395</v>
      </c>
      <c r="B107" s="36" t="s">
        <v>910</v>
      </c>
      <c r="C107" s="35" t="s">
        <v>833</v>
      </c>
      <c r="D107" s="38" t="s">
        <v>911</v>
      </c>
      <c r="E107" s="34" t="s">
        <v>905</v>
      </c>
      <c r="F107" s="39" t="s">
        <v>912</v>
      </c>
      <c r="G107" s="34" t="s">
        <v>905</v>
      </c>
    </row>
    <row r="108" spans="1:7">
      <c r="A108" s="34" t="s">
        <v>395</v>
      </c>
      <c r="B108" s="36" t="s">
        <v>913</v>
      </c>
      <c r="C108" s="35" t="s">
        <v>833</v>
      </c>
      <c r="D108" s="38" t="s">
        <v>914</v>
      </c>
      <c r="E108" s="34" t="s">
        <v>905</v>
      </c>
      <c r="F108" s="38" t="s">
        <v>915</v>
      </c>
      <c r="G108" s="34" t="s">
        <v>905</v>
      </c>
    </row>
    <row r="109" spans="1:7">
      <c r="A109" s="34" t="s">
        <v>395</v>
      </c>
      <c r="B109" s="36" t="s">
        <v>916</v>
      </c>
      <c r="C109" s="35" t="s">
        <v>833</v>
      </c>
      <c r="D109" s="34"/>
      <c r="E109" s="34"/>
      <c r="F109" s="38" t="s">
        <v>917</v>
      </c>
      <c r="G109" s="34" t="s">
        <v>905</v>
      </c>
    </row>
    <row r="110" spans="1:7">
      <c r="A110" s="34" t="s">
        <v>395</v>
      </c>
      <c r="B110" s="36" t="s">
        <v>918</v>
      </c>
      <c r="C110" s="35" t="s">
        <v>833</v>
      </c>
      <c r="D110" s="34"/>
      <c r="E110" s="34"/>
      <c r="F110" s="38" t="s">
        <v>919</v>
      </c>
      <c r="G110" s="34" t="s">
        <v>905</v>
      </c>
    </row>
    <row r="111" spans="1:7">
      <c r="A111" s="34" t="s">
        <v>395</v>
      </c>
      <c r="B111" s="36" t="s">
        <v>920</v>
      </c>
      <c r="C111" s="35" t="s">
        <v>833</v>
      </c>
      <c r="D111" s="34"/>
      <c r="E111" s="34"/>
      <c r="F111" s="39" t="s">
        <v>921</v>
      </c>
      <c r="G111" s="34" t="s">
        <v>905</v>
      </c>
    </row>
    <row r="112" spans="1:7">
      <c r="A112" s="34" t="s">
        <v>395</v>
      </c>
      <c r="B112" s="36" t="s">
        <v>922</v>
      </c>
      <c r="C112" s="35" t="s">
        <v>833</v>
      </c>
      <c r="D112" s="34"/>
      <c r="E112" s="34"/>
      <c r="F112" s="34"/>
      <c r="G112" s="34"/>
    </row>
    <row r="113" spans="1:7">
      <c r="A113" s="34" t="s">
        <v>395</v>
      </c>
      <c r="B113" s="36" t="s">
        <v>923</v>
      </c>
      <c r="C113" s="35" t="s">
        <v>833</v>
      </c>
      <c r="D113" s="34"/>
      <c r="E113" s="34"/>
      <c r="F113" s="34"/>
      <c r="G113" s="34"/>
    </row>
    <row r="114" spans="1:7">
      <c r="A114" s="34" t="s">
        <v>395</v>
      </c>
      <c r="B114" s="36" t="s">
        <v>924</v>
      </c>
      <c r="C114" s="35" t="s">
        <v>833</v>
      </c>
      <c r="D114" s="34"/>
      <c r="E114" s="34"/>
      <c r="F114" s="34"/>
      <c r="G114" s="34"/>
    </row>
    <row r="115" spans="1:7">
      <c r="A115" s="34" t="s">
        <v>395</v>
      </c>
      <c r="B115" s="36" t="s">
        <v>925</v>
      </c>
      <c r="C115" s="35" t="s">
        <v>833</v>
      </c>
      <c r="D115" s="34"/>
      <c r="E115" s="34"/>
      <c r="F115" s="34"/>
      <c r="G115" s="34"/>
    </row>
    <row r="116" spans="1:7">
      <c r="A116" s="34" t="s">
        <v>395</v>
      </c>
      <c r="B116" s="36" t="s">
        <v>926</v>
      </c>
      <c r="C116" s="35" t="s">
        <v>833</v>
      </c>
      <c r="D116" s="34"/>
      <c r="E116" s="34"/>
      <c r="F116" s="34"/>
      <c r="G116" s="34"/>
    </row>
    <row r="117" spans="1:7">
      <c r="A117" s="34" t="s">
        <v>395</v>
      </c>
      <c r="B117" s="36" t="s">
        <v>927</v>
      </c>
      <c r="C117" s="35" t="s">
        <v>833</v>
      </c>
      <c r="D117" s="34"/>
      <c r="E117" s="34"/>
      <c r="F117" s="34"/>
      <c r="G117" s="34"/>
    </row>
    <row r="118" spans="1:7">
      <c r="A118" s="34" t="s">
        <v>395</v>
      </c>
      <c r="B118" s="36" t="s">
        <v>928</v>
      </c>
      <c r="C118" s="35" t="s">
        <v>833</v>
      </c>
      <c r="D118" s="34"/>
      <c r="E118" s="34"/>
      <c r="F118" s="34"/>
      <c r="G118" s="34"/>
    </row>
    <row r="119" spans="1:7">
      <c r="A119" s="34" t="s">
        <v>395</v>
      </c>
      <c r="B119" s="36" t="s">
        <v>929</v>
      </c>
      <c r="C119" s="35" t="s">
        <v>833</v>
      </c>
      <c r="D119" s="34"/>
      <c r="E119" s="34"/>
      <c r="F119" s="34"/>
      <c r="G119" s="34"/>
    </row>
    <row r="120" spans="1:7">
      <c r="A120" s="34" t="s">
        <v>395</v>
      </c>
      <c r="B120" s="36" t="s">
        <v>930</v>
      </c>
      <c r="C120" s="35" t="s">
        <v>833</v>
      </c>
      <c r="D120" s="34"/>
      <c r="E120" s="34"/>
      <c r="F120" s="34"/>
      <c r="G120" s="34"/>
    </row>
    <row r="121" spans="1:7">
      <c r="A121" s="34" t="s">
        <v>395</v>
      </c>
      <c r="B121" s="36" t="s">
        <v>931</v>
      </c>
      <c r="C121" s="35" t="s">
        <v>833</v>
      </c>
      <c r="D121" s="34"/>
      <c r="E121" s="34"/>
      <c r="F121" s="34"/>
      <c r="G121" s="34"/>
    </row>
    <row r="122" spans="1:7">
      <c r="A122" s="34" t="s">
        <v>395</v>
      </c>
      <c r="B122" s="36" t="s">
        <v>932</v>
      </c>
      <c r="C122" s="35" t="s">
        <v>833</v>
      </c>
      <c r="D122" s="34"/>
      <c r="E122" s="34"/>
      <c r="F122" s="34"/>
      <c r="G122" s="34"/>
    </row>
    <row r="123" spans="1:7">
      <c r="A123" s="34" t="s">
        <v>395</v>
      </c>
      <c r="B123" s="36" t="s">
        <v>933</v>
      </c>
      <c r="C123" s="35" t="s">
        <v>833</v>
      </c>
      <c r="D123" s="34"/>
      <c r="E123" s="34"/>
      <c r="F123" s="34"/>
      <c r="G123" s="34"/>
    </row>
    <row r="124" spans="1:7">
      <c r="A124" s="34" t="s">
        <v>395</v>
      </c>
      <c r="B124" s="38" t="s">
        <v>934</v>
      </c>
      <c r="C124" s="34" t="s">
        <v>837</v>
      </c>
      <c r="D124" s="34"/>
      <c r="E124" s="34"/>
      <c r="F124" s="34"/>
      <c r="G124" s="34"/>
    </row>
    <row r="125" spans="1:7">
      <c r="A125" s="34" t="s">
        <v>395</v>
      </c>
      <c r="B125" s="38" t="s">
        <v>935</v>
      </c>
      <c r="C125" s="34" t="s">
        <v>837</v>
      </c>
      <c r="D125" s="34"/>
      <c r="E125" s="34"/>
      <c r="F125" s="34"/>
      <c r="G125" s="34"/>
    </row>
    <row r="126" spans="1:7">
      <c r="A126" s="34" t="s">
        <v>395</v>
      </c>
      <c r="B126" s="39" t="s">
        <v>936</v>
      </c>
      <c r="C126" s="34" t="s">
        <v>837</v>
      </c>
      <c r="D126" s="34"/>
      <c r="E126" s="34"/>
      <c r="F126" s="34"/>
      <c r="G126" s="34"/>
    </row>
    <row r="127" spans="1:7">
      <c r="A127" s="34" t="s">
        <v>395</v>
      </c>
      <c r="B127" s="38" t="s">
        <v>937</v>
      </c>
      <c r="C127" s="34" t="s">
        <v>837</v>
      </c>
      <c r="D127" s="34"/>
      <c r="E127" s="34"/>
      <c r="F127" s="34"/>
      <c r="G127" s="34"/>
    </row>
    <row r="128" spans="1:7">
      <c r="A128" s="34" t="s">
        <v>395</v>
      </c>
      <c r="B128" s="38" t="s">
        <v>938</v>
      </c>
      <c r="C128" s="34" t="s">
        <v>905</v>
      </c>
      <c r="D128" s="39"/>
      <c r="E128" s="34"/>
      <c r="F128" s="34"/>
      <c r="G128" s="34"/>
    </row>
    <row r="129" spans="1:7">
      <c r="A129" s="34" t="s">
        <v>395</v>
      </c>
      <c r="B129" s="38" t="s">
        <v>939</v>
      </c>
      <c r="C129" s="34" t="s">
        <v>905</v>
      </c>
      <c r="D129" s="38"/>
      <c r="E129" s="34"/>
      <c r="F129" s="34"/>
      <c r="G129" s="34"/>
    </row>
    <row r="130" spans="1:7">
      <c r="A130" s="34" t="s">
        <v>395</v>
      </c>
      <c r="B130" s="38" t="s">
        <v>940</v>
      </c>
      <c r="C130" s="34" t="s">
        <v>905</v>
      </c>
      <c r="D130" s="38"/>
      <c r="E130" s="34"/>
      <c r="F130" s="34"/>
      <c r="G130" s="34"/>
    </row>
    <row r="131" spans="1:7">
      <c r="A131" s="32" t="s">
        <v>406</v>
      </c>
      <c r="B131" s="40" t="s">
        <v>941</v>
      </c>
      <c r="C131" s="32" t="s">
        <v>833</v>
      </c>
      <c r="D131" s="40" t="s">
        <v>942</v>
      </c>
      <c r="E131" s="32" t="s">
        <v>833</v>
      </c>
      <c r="F131" s="40" t="s">
        <v>943</v>
      </c>
      <c r="G131" s="32" t="s">
        <v>833</v>
      </c>
    </row>
    <row r="132" spans="1:7">
      <c r="A132" s="34" t="s">
        <v>406</v>
      </c>
      <c r="B132" s="41" t="s">
        <v>944</v>
      </c>
      <c r="C132" s="34" t="s">
        <v>833</v>
      </c>
      <c r="D132" s="41" t="s">
        <v>945</v>
      </c>
      <c r="E132" s="34" t="s">
        <v>833</v>
      </c>
      <c r="F132" s="41" t="s">
        <v>946</v>
      </c>
      <c r="G132" s="34" t="s">
        <v>833</v>
      </c>
    </row>
    <row r="133" spans="1:7">
      <c r="A133" s="34" t="s">
        <v>406</v>
      </c>
      <c r="B133" s="41" t="s">
        <v>947</v>
      </c>
      <c r="C133" s="34" t="s">
        <v>833</v>
      </c>
      <c r="D133" s="41" t="s">
        <v>948</v>
      </c>
      <c r="E133" s="34" t="s">
        <v>833</v>
      </c>
      <c r="F133" s="41" t="s">
        <v>949</v>
      </c>
      <c r="G133" s="34" t="s">
        <v>833</v>
      </c>
    </row>
    <row r="134" spans="1:7">
      <c r="A134" s="34" t="s">
        <v>406</v>
      </c>
      <c r="B134" s="42" t="s">
        <v>950</v>
      </c>
      <c r="C134" s="34" t="s">
        <v>905</v>
      </c>
      <c r="D134" s="41" t="s">
        <v>951</v>
      </c>
      <c r="E134" s="34" t="s">
        <v>833</v>
      </c>
      <c r="F134" s="41" t="s">
        <v>952</v>
      </c>
      <c r="G134" s="34" t="s">
        <v>833</v>
      </c>
    </row>
    <row r="135" spans="1:7">
      <c r="A135" s="34" t="s">
        <v>406</v>
      </c>
      <c r="B135" s="34"/>
      <c r="C135" s="34"/>
      <c r="D135" s="41" t="s">
        <v>953</v>
      </c>
      <c r="E135" s="34" t="s">
        <v>833</v>
      </c>
      <c r="F135" s="41" t="s">
        <v>954</v>
      </c>
      <c r="G135" s="34" t="s">
        <v>833</v>
      </c>
    </row>
    <row r="136" spans="1:7">
      <c r="A136" s="34" t="s">
        <v>406</v>
      </c>
      <c r="B136" s="34"/>
      <c r="C136" s="34"/>
      <c r="D136" s="41" t="s">
        <v>955</v>
      </c>
      <c r="E136" s="34" t="s">
        <v>833</v>
      </c>
      <c r="F136" s="41" t="s">
        <v>956</v>
      </c>
      <c r="G136" s="34" t="s">
        <v>833</v>
      </c>
    </row>
    <row r="137" spans="1:7">
      <c r="A137" s="34" t="s">
        <v>406</v>
      </c>
      <c r="B137" s="34"/>
      <c r="C137" s="34"/>
      <c r="D137" s="41" t="s">
        <v>957</v>
      </c>
      <c r="E137" s="34" t="s">
        <v>833</v>
      </c>
      <c r="F137" s="41" t="s">
        <v>958</v>
      </c>
      <c r="G137" s="34" t="s">
        <v>833</v>
      </c>
    </row>
    <row r="138" spans="1:7">
      <c r="A138" s="34" t="s">
        <v>406</v>
      </c>
      <c r="B138" s="34"/>
      <c r="C138" s="34"/>
      <c r="D138" s="41" t="s">
        <v>959</v>
      </c>
      <c r="E138" s="34" t="s">
        <v>833</v>
      </c>
      <c r="F138" s="41" t="s">
        <v>960</v>
      </c>
      <c r="G138" s="34" t="s">
        <v>833</v>
      </c>
    </row>
    <row r="139" spans="1:7">
      <c r="A139" s="34" t="s">
        <v>406</v>
      </c>
      <c r="B139" s="34"/>
      <c r="C139" s="34"/>
      <c r="D139" s="41" t="s">
        <v>961</v>
      </c>
      <c r="E139" s="34" t="s">
        <v>833</v>
      </c>
      <c r="F139" s="41" t="s">
        <v>962</v>
      </c>
      <c r="G139" s="34" t="s">
        <v>833</v>
      </c>
    </row>
    <row r="140" spans="1:7">
      <c r="A140" s="34" t="s">
        <v>406</v>
      </c>
      <c r="B140" s="34"/>
      <c r="C140" s="34"/>
      <c r="D140" s="41" t="s">
        <v>963</v>
      </c>
      <c r="E140" s="34" t="s">
        <v>833</v>
      </c>
      <c r="F140" s="41" t="s">
        <v>964</v>
      </c>
      <c r="G140" s="34" t="s">
        <v>833</v>
      </c>
    </row>
    <row r="141" spans="1:7">
      <c r="A141" s="34" t="s">
        <v>406</v>
      </c>
      <c r="B141" s="34"/>
      <c r="C141" s="34"/>
      <c r="D141" s="41" t="s">
        <v>965</v>
      </c>
      <c r="E141" s="34" t="s">
        <v>833</v>
      </c>
      <c r="F141" s="41" t="s">
        <v>966</v>
      </c>
      <c r="G141" s="34" t="s">
        <v>833</v>
      </c>
    </row>
    <row r="142" spans="1:7">
      <c r="A142" s="34" t="s">
        <v>406</v>
      </c>
      <c r="B142" s="34"/>
      <c r="C142" s="34"/>
      <c r="D142" s="41" t="s">
        <v>967</v>
      </c>
      <c r="E142" s="34" t="s">
        <v>833</v>
      </c>
      <c r="F142" s="41" t="s">
        <v>968</v>
      </c>
      <c r="G142" s="34" t="s">
        <v>833</v>
      </c>
    </row>
    <row r="143" spans="1:7">
      <c r="A143" s="34" t="s">
        <v>406</v>
      </c>
      <c r="B143" s="34"/>
      <c r="C143" s="34"/>
      <c r="D143" s="41" t="s">
        <v>969</v>
      </c>
      <c r="E143" s="34" t="s">
        <v>833</v>
      </c>
      <c r="F143" s="41" t="s">
        <v>970</v>
      </c>
      <c r="G143" s="34" t="s">
        <v>833</v>
      </c>
    </row>
    <row r="144" spans="1:7">
      <c r="A144" s="34" t="s">
        <v>406</v>
      </c>
      <c r="B144" s="34"/>
      <c r="C144" s="34"/>
      <c r="D144" s="41" t="s">
        <v>971</v>
      </c>
      <c r="E144" s="34" t="s">
        <v>833</v>
      </c>
      <c r="F144" s="41" t="s">
        <v>972</v>
      </c>
      <c r="G144" s="34" t="s">
        <v>833</v>
      </c>
    </row>
    <row r="145" spans="1:7">
      <c r="A145" s="34" t="s">
        <v>406</v>
      </c>
      <c r="B145" s="34"/>
      <c r="C145" s="34"/>
      <c r="D145" s="41" t="s">
        <v>973</v>
      </c>
      <c r="E145" s="34" t="s">
        <v>833</v>
      </c>
      <c r="F145" s="41" t="s">
        <v>974</v>
      </c>
      <c r="G145" s="34" t="s">
        <v>833</v>
      </c>
    </row>
    <row r="146" spans="1:7">
      <c r="A146" s="34" t="s">
        <v>406</v>
      </c>
      <c r="B146" s="34"/>
      <c r="C146" s="34"/>
      <c r="D146" s="41" t="s">
        <v>975</v>
      </c>
      <c r="E146" s="34" t="s">
        <v>833</v>
      </c>
      <c r="F146" s="41" t="s">
        <v>976</v>
      </c>
      <c r="G146" s="34" t="s">
        <v>833</v>
      </c>
    </row>
    <row r="147" spans="1:7">
      <c r="A147" s="34" t="s">
        <v>406</v>
      </c>
      <c r="B147" s="34"/>
      <c r="C147" s="34"/>
      <c r="D147" s="41" t="s">
        <v>977</v>
      </c>
      <c r="E147" s="34" t="s">
        <v>833</v>
      </c>
      <c r="F147" s="41" t="s">
        <v>978</v>
      </c>
      <c r="G147" s="34" t="s">
        <v>833</v>
      </c>
    </row>
    <row r="148" spans="1:7">
      <c r="A148" s="34" t="s">
        <v>406</v>
      </c>
      <c r="B148" s="34"/>
      <c r="C148" s="34"/>
      <c r="D148" s="41" t="s">
        <v>979</v>
      </c>
      <c r="E148" s="34" t="s">
        <v>833</v>
      </c>
      <c r="F148" s="41" t="s">
        <v>980</v>
      </c>
      <c r="G148" s="34" t="s">
        <v>833</v>
      </c>
    </row>
    <row r="149" spans="1:7">
      <c r="A149" s="34" t="s">
        <v>406</v>
      </c>
      <c r="B149" s="34"/>
      <c r="C149" s="34"/>
      <c r="D149" s="41" t="s">
        <v>981</v>
      </c>
      <c r="E149" s="34" t="s">
        <v>833</v>
      </c>
      <c r="F149" s="41" t="s">
        <v>982</v>
      </c>
      <c r="G149" s="34" t="s">
        <v>833</v>
      </c>
    </row>
    <row r="150" spans="1:7">
      <c r="A150" s="34" t="s">
        <v>406</v>
      </c>
      <c r="B150" s="34"/>
      <c r="C150" s="34"/>
      <c r="D150" s="41" t="s">
        <v>983</v>
      </c>
      <c r="E150" s="34" t="s">
        <v>833</v>
      </c>
      <c r="F150" s="41" t="s">
        <v>984</v>
      </c>
      <c r="G150" s="34" t="s">
        <v>833</v>
      </c>
    </row>
    <row r="151" spans="1:7">
      <c r="A151" s="34" t="s">
        <v>406</v>
      </c>
      <c r="B151" s="34"/>
      <c r="C151" s="34"/>
      <c r="D151" s="41" t="s">
        <v>985</v>
      </c>
      <c r="E151" s="34" t="s">
        <v>833</v>
      </c>
      <c r="F151" s="41" t="s">
        <v>986</v>
      </c>
      <c r="G151" s="34" t="s">
        <v>833</v>
      </c>
    </row>
    <row r="152" spans="1:7">
      <c r="A152" s="34" t="s">
        <v>406</v>
      </c>
      <c r="B152" s="34"/>
      <c r="C152" s="34"/>
      <c r="D152" s="41" t="s">
        <v>987</v>
      </c>
      <c r="E152" s="34" t="s">
        <v>833</v>
      </c>
      <c r="F152" s="41" t="s">
        <v>988</v>
      </c>
      <c r="G152" s="34" t="s">
        <v>833</v>
      </c>
    </row>
    <row r="153" spans="1:7">
      <c r="A153" s="34" t="s">
        <v>406</v>
      </c>
      <c r="B153" s="34"/>
      <c r="C153" s="34"/>
      <c r="D153" s="41" t="s">
        <v>989</v>
      </c>
      <c r="E153" s="34" t="s">
        <v>833</v>
      </c>
      <c r="F153" s="41" t="s">
        <v>990</v>
      </c>
      <c r="G153" s="34" t="s">
        <v>833</v>
      </c>
    </row>
    <row r="154" spans="1:7">
      <c r="A154" s="34" t="s">
        <v>406</v>
      </c>
      <c r="B154" s="34"/>
      <c r="C154" s="34"/>
      <c r="D154" s="41" t="s">
        <v>991</v>
      </c>
      <c r="E154" s="34" t="s">
        <v>833</v>
      </c>
      <c r="F154" s="41" t="s">
        <v>992</v>
      </c>
      <c r="G154" s="34" t="s">
        <v>833</v>
      </c>
    </row>
    <row r="155" spans="1:7">
      <c r="A155" s="34" t="s">
        <v>406</v>
      </c>
      <c r="B155" s="34"/>
      <c r="C155" s="34"/>
      <c r="D155" s="41" t="s">
        <v>993</v>
      </c>
      <c r="E155" s="34" t="s">
        <v>833</v>
      </c>
      <c r="F155" s="41" t="s">
        <v>994</v>
      </c>
      <c r="G155" s="34" t="s">
        <v>833</v>
      </c>
    </row>
    <row r="156" spans="1:7">
      <c r="A156" s="34" t="s">
        <v>406</v>
      </c>
      <c r="B156" s="34"/>
      <c r="C156" s="34"/>
      <c r="D156" s="41" t="s">
        <v>995</v>
      </c>
      <c r="E156" s="34" t="s">
        <v>833</v>
      </c>
      <c r="F156" s="41" t="s">
        <v>996</v>
      </c>
      <c r="G156" s="34" t="s">
        <v>833</v>
      </c>
    </row>
    <row r="157" spans="1:7">
      <c r="A157" s="34" t="s">
        <v>406</v>
      </c>
      <c r="B157" s="34"/>
      <c r="C157" s="34"/>
      <c r="D157" s="41" t="s">
        <v>942</v>
      </c>
      <c r="E157" s="34" t="s">
        <v>833</v>
      </c>
      <c r="F157" s="41" t="s">
        <v>997</v>
      </c>
      <c r="G157" s="34" t="s">
        <v>833</v>
      </c>
    </row>
    <row r="158" spans="1:7">
      <c r="A158" s="34" t="s">
        <v>406</v>
      </c>
      <c r="B158" s="34"/>
      <c r="C158" s="34"/>
      <c r="D158" s="38" t="s">
        <v>998</v>
      </c>
      <c r="E158" s="34" t="s">
        <v>905</v>
      </c>
      <c r="F158" s="41" t="s">
        <v>999</v>
      </c>
      <c r="G158" s="34" t="s">
        <v>833</v>
      </c>
    </row>
    <row r="159" spans="1:7">
      <c r="A159" s="34" t="s">
        <v>406</v>
      </c>
      <c r="B159" s="34"/>
      <c r="C159" s="34"/>
      <c r="D159" s="38" t="s">
        <v>1000</v>
      </c>
      <c r="E159" s="34" t="s">
        <v>905</v>
      </c>
      <c r="F159" s="41" t="s">
        <v>1001</v>
      </c>
      <c r="G159" s="34" t="s">
        <v>833</v>
      </c>
    </row>
    <row r="160" spans="1:7">
      <c r="A160" s="34" t="s">
        <v>406</v>
      </c>
      <c r="B160" s="34"/>
      <c r="C160" s="34"/>
      <c r="D160" s="34"/>
      <c r="E160" s="34"/>
      <c r="F160" s="41" t="s">
        <v>1002</v>
      </c>
      <c r="G160" s="34" t="s">
        <v>833</v>
      </c>
    </row>
    <row r="161" spans="1:7">
      <c r="A161" s="34" t="s">
        <v>406</v>
      </c>
      <c r="B161" s="34"/>
      <c r="C161" s="34"/>
      <c r="D161" s="34"/>
      <c r="E161" s="34"/>
      <c r="F161" s="41" t="s">
        <v>1003</v>
      </c>
      <c r="G161" s="34" t="s">
        <v>833</v>
      </c>
    </row>
    <row r="162" spans="1:7">
      <c r="A162" s="34" t="s">
        <v>406</v>
      </c>
      <c r="B162" s="34"/>
      <c r="C162" s="34"/>
      <c r="D162" s="34"/>
      <c r="E162" s="34"/>
      <c r="F162" s="41" t="s">
        <v>1004</v>
      </c>
      <c r="G162" s="34" t="s">
        <v>833</v>
      </c>
    </row>
    <row r="163" spans="1:7">
      <c r="A163" s="34" t="s">
        <v>406</v>
      </c>
      <c r="B163" s="34"/>
      <c r="C163" s="34"/>
      <c r="D163" s="34"/>
      <c r="E163" s="34"/>
      <c r="F163" s="41" t="s">
        <v>1005</v>
      </c>
      <c r="G163" s="34" t="s">
        <v>833</v>
      </c>
    </row>
    <row r="164" spans="1:7">
      <c r="A164" s="34" t="s">
        <v>406</v>
      </c>
      <c r="B164" s="34"/>
      <c r="C164" s="34"/>
      <c r="D164" s="34"/>
      <c r="E164" s="34"/>
      <c r="F164" s="41" t="s">
        <v>1006</v>
      </c>
      <c r="G164" s="34" t="s">
        <v>833</v>
      </c>
    </row>
    <row r="165" spans="1:7">
      <c r="A165" s="34" t="s">
        <v>406</v>
      </c>
      <c r="B165" s="34"/>
      <c r="C165" s="34"/>
      <c r="D165" s="34"/>
      <c r="E165" s="34"/>
      <c r="F165" s="41" t="s">
        <v>1007</v>
      </c>
      <c r="G165" s="34" t="s">
        <v>833</v>
      </c>
    </row>
    <row r="166" spans="1:7">
      <c r="A166" s="34" t="s">
        <v>406</v>
      </c>
      <c r="B166" s="34"/>
      <c r="C166" s="34"/>
      <c r="D166" s="34"/>
      <c r="E166" s="34"/>
      <c r="F166" s="41" t="s">
        <v>1008</v>
      </c>
      <c r="G166" s="34" t="s">
        <v>833</v>
      </c>
    </row>
    <row r="167" spans="1:7">
      <c r="A167" s="34" t="s">
        <v>406</v>
      </c>
      <c r="B167" s="34"/>
      <c r="C167" s="34"/>
      <c r="D167" s="34"/>
      <c r="E167" s="34"/>
      <c r="F167" s="41" t="s">
        <v>1009</v>
      </c>
      <c r="G167" s="34" t="s">
        <v>833</v>
      </c>
    </row>
    <row r="168" spans="1:7">
      <c r="A168" s="34" t="s">
        <v>406</v>
      </c>
      <c r="B168" s="34"/>
      <c r="C168" s="34"/>
      <c r="D168" s="34"/>
      <c r="E168" s="34"/>
      <c r="F168" s="41" t="s">
        <v>1010</v>
      </c>
      <c r="G168" s="34" t="s">
        <v>833</v>
      </c>
    </row>
    <row r="169" spans="1:7">
      <c r="A169" s="34" t="s">
        <v>406</v>
      </c>
      <c r="B169" s="34"/>
      <c r="C169" s="34"/>
      <c r="D169" s="34"/>
      <c r="E169" s="34"/>
      <c r="F169" s="41" t="s">
        <v>1011</v>
      </c>
      <c r="G169" s="34" t="s">
        <v>833</v>
      </c>
    </row>
    <row r="170" spans="1:7">
      <c r="A170" s="34" t="s">
        <v>406</v>
      </c>
      <c r="B170" s="34"/>
      <c r="C170" s="34"/>
      <c r="D170" s="34"/>
      <c r="E170" s="34"/>
      <c r="F170" s="41" t="s">
        <v>1012</v>
      </c>
      <c r="G170" s="34" t="s">
        <v>833</v>
      </c>
    </row>
    <row r="171" spans="1:7">
      <c r="A171" s="34" t="s">
        <v>406</v>
      </c>
      <c r="B171" s="34"/>
      <c r="C171" s="34"/>
      <c r="D171" s="34"/>
      <c r="E171" s="34"/>
      <c r="F171" s="41" t="s">
        <v>1013</v>
      </c>
      <c r="G171" s="34" t="s">
        <v>833</v>
      </c>
    </row>
    <row r="172" spans="1:7">
      <c r="A172" s="34" t="s">
        <v>406</v>
      </c>
      <c r="B172" s="34"/>
      <c r="C172" s="34"/>
      <c r="D172" s="34"/>
      <c r="E172" s="34"/>
      <c r="F172" s="41" t="s">
        <v>1014</v>
      </c>
      <c r="G172" s="34" t="s">
        <v>833</v>
      </c>
    </row>
    <row r="173" spans="1:7">
      <c r="A173" s="34" t="s">
        <v>406</v>
      </c>
      <c r="B173" s="34"/>
      <c r="C173" s="34"/>
      <c r="D173" s="34"/>
      <c r="E173" s="34"/>
      <c r="F173" s="41" t="s">
        <v>1015</v>
      </c>
      <c r="G173" s="34" t="s">
        <v>833</v>
      </c>
    </row>
    <row r="174" spans="1:7">
      <c r="A174" s="32" t="s">
        <v>414</v>
      </c>
      <c r="B174" s="37" t="s">
        <v>895</v>
      </c>
      <c r="C174" s="32" t="s">
        <v>833</v>
      </c>
      <c r="D174" s="37" t="s">
        <v>1016</v>
      </c>
      <c r="E174" s="32" t="s">
        <v>837</v>
      </c>
      <c r="F174" s="37" t="s">
        <v>1017</v>
      </c>
      <c r="G174" s="32" t="s">
        <v>837</v>
      </c>
    </row>
    <row r="175" spans="1:7">
      <c r="A175" s="34" t="s">
        <v>414</v>
      </c>
      <c r="B175" s="39" t="s">
        <v>1018</v>
      </c>
      <c r="C175" s="34" t="s">
        <v>833</v>
      </c>
      <c r="D175" s="38" t="s">
        <v>1019</v>
      </c>
      <c r="E175" s="34" t="s">
        <v>837</v>
      </c>
      <c r="F175" s="38" t="s">
        <v>1020</v>
      </c>
      <c r="G175" s="34" t="s">
        <v>837</v>
      </c>
    </row>
    <row r="176" spans="1:7">
      <c r="A176" s="34" t="s">
        <v>414</v>
      </c>
      <c r="B176" s="39" t="s">
        <v>1021</v>
      </c>
      <c r="C176" s="34" t="s">
        <v>833</v>
      </c>
      <c r="D176" s="38" t="s">
        <v>908</v>
      </c>
      <c r="E176" s="34" t="s">
        <v>905</v>
      </c>
      <c r="F176" s="38" t="s">
        <v>915</v>
      </c>
      <c r="G176" s="34" t="s">
        <v>905</v>
      </c>
    </row>
    <row r="177" spans="1:7">
      <c r="A177" s="34" t="s">
        <v>414</v>
      </c>
      <c r="B177" s="38" t="s">
        <v>1022</v>
      </c>
      <c r="C177" s="34" t="s">
        <v>833</v>
      </c>
      <c r="D177" s="38" t="s">
        <v>911</v>
      </c>
      <c r="E177" s="34" t="s">
        <v>905</v>
      </c>
      <c r="F177" s="38" t="s">
        <v>917</v>
      </c>
      <c r="G177" s="34" t="s">
        <v>905</v>
      </c>
    </row>
    <row r="178" spans="1:7">
      <c r="A178" s="34" t="s">
        <v>414</v>
      </c>
      <c r="B178" s="38" t="s">
        <v>1023</v>
      </c>
      <c r="C178" s="34" t="s">
        <v>833</v>
      </c>
      <c r="D178" s="38" t="s">
        <v>914</v>
      </c>
      <c r="E178" s="34" t="s">
        <v>905</v>
      </c>
      <c r="F178" s="38" t="s">
        <v>919</v>
      </c>
      <c r="G178" s="34" t="s">
        <v>905</v>
      </c>
    </row>
    <row r="179" spans="1:7">
      <c r="A179" s="34" t="s">
        <v>414</v>
      </c>
      <c r="B179" s="39" t="s">
        <v>1024</v>
      </c>
      <c r="C179" s="34" t="s">
        <v>833</v>
      </c>
      <c r="D179" s="39" t="s">
        <v>906</v>
      </c>
      <c r="E179" s="34" t="s">
        <v>905</v>
      </c>
      <c r="F179" s="39" t="s">
        <v>921</v>
      </c>
      <c r="G179" s="34" t="s">
        <v>905</v>
      </c>
    </row>
    <row r="180" spans="1:7">
      <c r="A180" s="34" t="s">
        <v>414</v>
      </c>
      <c r="B180" s="39" t="s">
        <v>1025</v>
      </c>
      <c r="C180" s="34" t="s">
        <v>833</v>
      </c>
      <c r="D180" s="39" t="s">
        <v>909</v>
      </c>
      <c r="E180" s="34" t="s">
        <v>905</v>
      </c>
      <c r="F180" s="39" t="s">
        <v>1026</v>
      </c>
      <c r="G180" s="34" t="s">
        <v>905</v>
      </c>
    </row>
    <row r="181" spans="1:7">
      <c r="A181" s="34" t="s">
        <v>414</v>
      </c>
      <c r="B181" s="39" t="s">
        <v>1027</v>
      </c>
      <c r="C181" s="34" t="s">
        <v>833</v>
      </c>
      <c r="D181" s="39" t="s">
        <v>912</v>
      </c>
      <c r="E181" s="34" t="s">
        <v>905</v>
      </c>
      <c r="F181" s="39" t="s">
        <v>1028</v>
      </c>
      <c r="G181" s="34" t="s">
        <v>905</v>
      </c>
    </row>
    <row r="182" spans="1:7">
      <c r="A182" s="34" t="s">
        <v>414</v>
      </c>
      <c r="B182" s="39" t="s">
        <v>1029</v>
      </c>
      <c r="C182" s="34" t="s">
        <v>833</v>
      </c>
      <c r="D182" s="39" t="s">
        <v>1030</v>
      </c>
      <c r="E182" s="34" t="s">
        <v>905</v>
      </c>
      <c r="F182" s="39" t="s">
        <v>1031</v>
      </c>
      <c r="G182" s="34" t="s">
        <v>905</v>
      </c>
    </row>
    <row r="183" spans="1:7">
      <c r="A183" s="34" t="s">
        <v>414</v>
      </c>
      <c r="B183" s="39" t="s">
        <v>1032</v>
      </c>
      <c r="C183" s="34" t="s">
        <v>833</v>
      </c>
      <c r="D183" s="39" t="s">
        <v>1033</v>
      </c>
      <c r="E183" s="34" t="s">
        <v>905</v>
      </c>
      <c r="F183" s="39" t="s">
        <v>1034</v>
      </c>
      <c r="G183" s="34" t="s">
        <v>905</v>
      </c>
    </row>
    <row r="184" spans="1:7">
      <c r="A184" s="34" t="s">
        <v>414</v>
      </c>
      <c r="B184" s="38" t="s">
        <v>1035</v>
      </c>
      <c r="C184" s="34" t="s">
        <v>833</v>
      </c>
      <c r="D184" s="34"/>
      <c r="E184" s="34"/>
      <c r="F184" s="34"/>
      <c r="G184" s="34"/>
    </row>
    <row r="185" spans="1:7">
      <c r="A185" s="34" t="s">
        <v>414</v>
      </c>
      <c r="B185" s="39" t="s">
        <v>1036</v>
      </c>
      <c r="C185" s="34" t="s">
        <v>833</v>
      </c>
      <c r="D185" s="34"/>
      <c r="E185" s="34"/>
      <c r="F185" s="34"/>
      <c r="G185" s="34"/>
    </row>
    <row r="186" spans="1:7">
      <c r="A186" s="34" t="s">
        <v>414</v>
      </c>
      <c r="B186" s="39" t="s">
        <v>1037</v>
      </c>
      <c r="C186" s="34" t="s">
        <v>833</v>
      </c>
      <c r="D186" s="34"/>
      <c r="E186" s="34"/>
      <c r="F186" s="34"/>
      <c r="G186" s="34"/>
    </row>
    <row r="187" spans="1:7">
      <c r="A187" s="34" t="s">
        <v>414</v>
      </c>
      <c r="B187" s="39" t="s">
        <v>1038</v>
      </c>
      <c r="C187" s="34" t="s">
        <v>833</v>
      </c>
      <c r="D187" s="34"/>
      <c r="E187" s="34"/>
      <c r="F187" s="34"/>
      <c r="G187" s="34"/>
    </row>
    <row r="188" spans="1:7">
      <c r="A188" s="34" t="s">
        <v>414</v>
      </c>
      <c r="B188" s="39" t="s">
        <v>1039</v>
      </c>
      <c r="C188" s="34" t="s">
        <v>833</v>
      </c>
      <c r="D188" s="34"/>
      <c r="E188" s="34"/>
      <c r="F188" s="34"/>
      <c r="G188" s="34"/>
    </row>
    <row r="189" spans="1:7">
      <c r="A189" s="34" t="s">
        <v>414</v>
      </c>
      <c r="B189" s="39" t="s">
        <v>1040</v>
      </c>
      <c r="C189" s="34" t="s">
        <v>833</v>
      </c>
      <c r="D189" s="34"/>
      <c r="E189" s="34"/>
      <c r="F189" s="34"/>
      <c r="G189" s="34"/>
    </row>
    <row r="190" spans="1:7">
      <c r="A190" s="34" t="s">
        <v>414</v>
      </c>
      <c r="B190" s="39" t="s">
        <v>1041</v>
      </c>
      <c r="C190" s="34" t="s">
        <v>833</v>
      </c>
      <c r="D190" s="34"/>
      <c r="E190" s="34"/>
      <c r="F190" s="34"/>
      <c r="G190" s="34"/>
    </row>
    <row r="191" spans="1:7">
      <c r="A191" s="34" t="s">
        <v>414</v>
      </c>
      <c r="B191" s="39" t="s">
        <v>1042</v>
      </c>
      <c r="C191" s="34" t="s">
        <v>833</v>
      </c>
      <c r="D191" s="34"/>
      <c r="E191" s="34"/>
      <c r="F191" s="34"/>
      <c r="G191" s="34"/>
    </row>
    <row r="192" spans="1:7">
      <c r="A192" s="34" t="s">
        <v>414</v>
      </c>
      <c r="B192" s="39" t="s">
        <v>1043</v>
      </c>
      <c r="C192" s="34" t="s">
        <v>833</v>
      </c>
      <c r="D192" s="34"/>
      <c r="E192" s="34"/>
      <c r="F192" s="34"/>
      <c r="G192" s="34"/>
    </row>
    <row r="193" spans="1:7">
      <c r="A193" s="34" t="s">
        <v>414</v>
      </c>
      <c r="B193" s="39" t="s">
        <v>1044</v>
      </c>
      <c r="C193" s="34" t="s">
        <v>833</v>
      </c>
      <c r="D193" s="34"/>
      <c r="E193" s="34"/>
      <c r="F193" s="34"/>
      <c r="G193" s="34"/>
    </row>
    <row r="194" spans="1:7">
      <c r="A194" s="34" t="s">
        <v>414</v>
      </c>
      <c r="B194" s="39" t="s">
        <v>1045</v>
      </c>
      <c r="C194" s="34" t="s">
        <v>833</v>
      </c>
      <c r="D194" s="34"/>
      <c r="E194" s="34"/>
      <c r="F194" s="34"/>
      <c r="G194" s="34"/>
    </row>
    <row r="195" spans="1:7">
      <c r="A195" s="34" t="s">
        <v>414</v>
      </c>
      <c r="B195" s="39" t="s">
        <v>1046</v>
      </c>
      <c r="C195" s="34" t="s">
        <v>833</v>
      </c>
      <c r="D195" s="34"/>
      <c r="E195" s="34"/>
      <c r="F195" s="34"/>
      <c r="G195" s="34"/>
    </row>
    <row r="196" spans="1:7">
      <c r="A196" s="34" t="s">
        <v>414</v>
      </c>
      <c r="B196" s="39" t="s">
        <v>1047</v>
      </c>
      <c r="C196" s="34" t="s">
        <v>833</v>
      </c>
      <c r="D196" s="34"/>
      <c r="E196" s="34"/>
      <c r="F196" s="34"/>
      <c r="G196" s="34"/>
    </row>
    <row r="197" spans="1:7">
      <c r="A197" s="34" t="s">
        <v>414</v>
      </c>
      <c r="B197" s="39" t="s">
        <v>1048</v>
      </c>
      <c r="C197" s="34" t="s">
        <v>833</v>
      </c>
      <c r="D197" s="34"/>
      <c r="E197" s="34"/>
      <c r="F197" s="34"/>
      <c r="G197" s="34"/>
    </row>
    <row r="198" spans="1:7">
      <c r="A198" s="34" t="s">
        <v>414</v>
      </c>
      <c r="B198" s="39" t="s">
        <v>1049</v>
      </c>
      <c r="C198" s="34" t="s">
        <v>833</v>
      </c>
      <c r="D198" s="34"/>
      <c r="E198" s="34"/>
      <c r="F198" s="34"/>
      <c r="G198" s="34"/>
    </row>
    <row r="199" spans="1:7">
      <c r="A199" s="34" t="s">
        <v>414</v>
      </c>
      <c r="B199" s="39" t="s">
        <v>1050</v>
      </c>
      <c r="C199" s="34" t="s">
        <v>833</v>
      </c>
      <c r="D199" s="34"/>
      <c r="E199" s="34"/>
      <c r="F199" s="34"/>
      <c r="G199" s="34"/>
    </row>
    <row r="200" spans="1:7">
      <c r="A200" s="34" t="s">
        <v>414</v>
      </c>
      <c r="B200" s="38" t="s">
        <v>1051</v>
      </c>
      <c r="C200" s="34" t="s">
        <v>837</v>
      </c>
      <c r="D200" s="34"/>
      <c r="E200" s="34"/>
      <c r="F200" s="34"/>
      <c r="G200" s="34"/>
    </row>
    <row r="201" spans="1:7">
      <c r="A201" s="34" t="s">
        <v>414</v>
      </c>
      <c r="B201" s="38" t="s">
        <v>1052</v>
      </c>
      <c r="C201" s="34" t="s">
        <v>837</v>
      </c>
      <c r="D201" s="34"/>
      <c r="E201" s="34"/>
      <c r="F201" s="34"/>
      <c r="G201" s="34"/>
    </row>
    <row r="202" spans="1:7">
      <c r="A202" s="34" t="s">
        <v>414</v>
      </c>
      <c r="B202" s="38" t="s">
        <v>1053</v>
      </c>
      <c r="C202" s="34" t="s">
        <v>837</v>
      </c>
      <c r="D202" s="34"/>
      <c r="E202" s="34"/>
      <c r="F202" s="34"/>
      <c r="G202" s="34"/>
    </row>
    <row r="203" spans="1:7">
      <c r="A203" s="34" t="s">
        <v>414</v>
      </c>
      <c r="B203" s="38" t="s">
        <v>1054</v>
      </c>
      <c r="C203" s="34" t="s">
        <v>905</v>
      </c>
      <c r="D203" s="34"/>
      <c r="E203" s="34"/>
      <c r="F203" s="34"/>
      <c r="G203" s="34"/>
    </row>
    <row r="204" spans="1:7">
      <c r="A204" s="34" t="s">
        <v>414</v>
      </c>
      <c r="B204" s="38" t="s">
        <v>1055</v>
      </c>
      <c r="C204" s="34" t="s">
        <v>905</v>
      </c>
      <c r="D204" s="34"/>
      <c r="E204" s="34"/>
      <c r="F204" s="34"/>
      <c r="G204" s="34"/>
    </row>
    <row r="205" spans="1:7">
      <c r="A205" s="34" t="s">
        <v>414</v>
      </c>
      <c r="B205" s="38" t="s">
        <v>1056</v>
      </c>
      <c r="C205" s="34" t="s">
        <v>905</v>
      </c>
      <c r="D205" s="34"/>
      <c r="E205" s="34"/>
      <c r="F205" s="34"/>
      <c r="G205" s="34"/>
    </row>
    <row r="206" spans="1:7">
      <c r="A206" s="34" t="s">
        <v>414</v>
      </c>
      <c r="B206" s="39" t="s">
        <v>1057</v>
      </c>
      <c r="C206" s="34" t="s">
        <v>905</v>
      </c>
      <c r="D206" s="34"/>
      <c r="E206" s="34"/>
      <c r="F206" s="34"/>
      <c r="G206" s="34"/>
    </row>
    <row r="207" spans="1:7">
      <c r="A207" s="34" t="s">
        <v>414</v>
      </c>
      <c r="B207" s="39" t="s">
        <v>1058</v>
      </c>
      <c r="C207" s="34" t="s">
        <v>905</v>
      </c>
      <c r="D207" s="34"/>
      <c r="E207" s="34"/>
      <c r="F207" s="34"/>
      <c r="G207" s="34"/>
    </row>
    <row r="208" spans="1:7">
      <c r="A208" s="34" t="s">
        <v>414</v>
      </c>
      <c r="B208" s="39" t="s">
        <v>1059</v>
      </c>
      <c r="C208" s="34" t="s">
        <v>905</v>
      </c>
      <c r="D208" s="34"/>
      <c r="E208" s="34"/>
      <c r="F208" s="34"/>
      <c r="G208" s="34"/>
    </row>
    <row r="209" spans="1:7">
      <c r="A209" s="32" t="s">
        <v>416</v>
      </c>
      <c r="B209" s="43" t="s">
        <v>1060</v>
      </c>
      <c r="C209" s="32" t="s">
        <v>833</v>
      </c>
      <c r="D209" s="44" t="s">
        <v>1061</v>
      </c>
      <c r="E209" s="32" t="s">
        <v>833</v>
      </c>
      <c r="F209" s="37" t="s">
        <v>1062</v>
      </c>
      <c r="G209" s="32" t="s">
        <v>905</v>
      </c>
    </row>
    <row r="210" spans="1:7">
      <c r="A210" s="34"/>
      <c r="B210" s="45" t="s">
        <v>1063</v>
      </c>
      <c r="C210" s="34" t="s">
        <v>833</v>
      </c>
      <c r="D210" s="34"/>
      <c r="E210" s="34"/>
      <c r="F210" s="38" t="s">
        <v>1064</v>
      </c>
      <c r="G210" s="34" t="s">
        <v>905</v>
      </c>
    </row>
    <row r="211" spans="1:7">
      <c r="A211" s="34"/>
      <c r="B211" s="45" t="s">
        <v>1065</v>
      </c>
      <c r="C211" s="34" t="s">
        <v>833</v>
      </c>
      <c r="D211" s="34"/>
      <c r="E211" s="34"/>
      <c r="F211" s="34"/>
      <c r="G211" s="34"/>
    </row>
    <row r="212" spans="1:7">
      <c r="A212" s="34"/>
      <c r="B212" s="45" t="s">
        <v>1066</v>
      </c>
      <c r="C212" s="34" t="s">
        <v>833</v>
      </c>
      <c r="D212" s="34"/>
      <c r="E212" s="34"/>
      <c r="F212" s="34"/>
      <c r="G212" s="34"/>
    </row>
    <row r="213" spans="1:7">
      <c r="A213" s="34"/>
      <c r="B213" s="45" t="s">
        <v>1067</v>
      </c>
      <c r="C213" s="34" t="s">
        <v>833</v>
      </c>
      <c r="D213" s="34"/>
      <c r="E213" s="34"/>
      <c r="F213" s="34"/>
      <c r="G213" s="34"/>
    </row>
    <row r="214" spans="1:7">
      <c r="A214" s="34"/>
      <c r="B214" s="45" t="s">
        <v>1068</v>
      </c>
      <c r="C214" s="34" t="s">
        <v>833</v>
      </c>
      <c r="D214" s="34"/>
      <c r="E214" s="34"/>
      <c r="F214" s="34"/>
      <c r="G214" s="34"/>
    </row>
    <row r="215" spans="1:7">
      <c r="A215" s="34"/>
      <c r="B215" s="45" t="s">
        <v>1069</v>
      </c>
      <c r="C215" s="34" t="s">
        <v>833</v>
      </c>
      <c r="D215" s="34"/>
      <c r="E215" s="34"/>
      <c r="F215" s="34"/>
      <c r="G215" s="34"/>
    </row>
    <row r="216" spans="1:7">
      <c r="A216" s="34"/>
      <c r="B216" s="45" t="s">
        <v>1070</v>
      </c>
      <c r="C216" s="34" t="s">
        <v>833</v>
      </c>
      <c r="D216" s="34"/>
      <c r="E216" s="34"/>
      <c r="F216" s="34"/>
      <c r="G216" s="34"/>
    </row>
    <row r="217" spans="1:7">
      <c r="A217" s="34"/>
      <c r="B217" s="45" t="s">
        <v>1071</v>
      </c>
      <c r="C217" s="34" t="s">
        <v>833</v>
      </c>
      <c r="D217" s="34"/>
      <c r="E217" s="34"/>
      <c r="F217" s="34"/>
      <c r="G217" s="34"/>
    </row>
    <row r="218" spans="1:7">
      <c r="A218" s="34"/>
      <c r="B218" s="45" t="s">
        <v>1072</v>
      </c>
      <c r="C218" s="34" t="s">
        <v>833</v>
      </c>
      <c r="D218" s="34"/>
      <c r="E218" s="34"/>
      <c r="F218" s="34"/>
      <c r="G218" s="34"/>
    </row>
    <row r="219" spans="1:7">
      <c r="A219" s="34"/>
      <c r="B219" s="45" t="s">
        <v>1073</v>
      </c>
      <c r="C219" s="34" t="s">
        <v>833</v>
      </c>
      <c r="D219" s="34"/>
      <c r="E219" s="34"/>
      <c r="F219" s="34"/>
      <c r="G219" s="34"/>
    </row>
    <row r="220" spans="1:7">
      <c r="A220" s="34"/>
      <c r="B220" s="45" t="s">
        <v>1074</v>
      </c>
      <c r="C220" s="34" t="s">
        <v>833</v>
      </c>
      <c r="D220" s="34"/>
      <c r="E220" s="34"/>
      <c r="F220" s="34"/>
      <c r="G220" s="34"/>
    </row>
    <row r="221" spans="1:7">
      <c r="A221" s="34"/>
      <c r="B221" s="45" t="s">
        <v>1075</v>
      </c>
      <c r="C221" s="34" t="s">
        <v>833</v>
      </c>
      <c r="D221" s="34"/>
      <c r="E221" s="34"/>
      <c r="F221" s="34"/>
      <c r="G221" s="34"/>
    </row>
    <row r="222" spans="1:7">
      <c r="A222" s="34"/>
      <c r="B222" s="45" t="s">
        <v>1076</v>
      </c>
      <c r="C222" s="34" t="s">
        <v>833</v>
      </c>
      <c r="D222" s="34"/>
      <c r="E222" s="34"/>
      <c r="F222" s="34"/>
      <c r="G222" s="34"/>
    </row>
    <row r="223" spans="1:7">
      <c r="A223" s="34"/>
      <c r="B223" s="45" t="s">
        <v>1077</v>
      </c>
      <c r="C223" s="34" t="s">
        <v>833</v>
      </c>
      <c r="D223" s="34"/>
      <c r="E223" s="34"/>
      <c r="F223" s="34"/>
      <c r="G223" s="34"/>
    </row>
    <row r="224" spans="1:7">
      <c r="A224" s="34"/>
      <c r="B224" s="45" t="s">
        <v>1078</v>
      </c>
      <c r="C224" s="34" t="s">
        <v>833</v>
      </c>
      <c r="D224" s="34"/>
      <c r="E224" s="34"/>
      <c r="F224" s="34"/>
      <c r="G224" s="34"/>
    </row>
    <row r="225" spans="1:7">
      <c r="A225" s="34"/>
      <c r="B225" s="45" t="s">
        <v>1079</v>
      </c>
      <c r="C225" s="34" t="s">
        <v>833</v>
      </c>
      <c r="D225" s="34"/>
      <c r="E225" s="34"/>
      <c r="F225" s="34"/>
      <c r="G225" s="34"/>
    </row>
    <row r="226" spans="1:7">
      <c r="A226" s="34"/>
      <c r="B226" s="45" t="s">
        <v>1080</v>
      </c>
      <c r="C226" s="34" t="s">
        <v>833</v>
      </c>
      <c r="D226" s="34"/>
      <c r="E226" s="34"/>
      <c r="F226" s="34"/>
      <c r="G226" s="34"/>
    </row>
    <row r="227" spans="1:7">
      <c r="A227" s="34"/>
      <c r="B227" s="45" t="s">
        <v>1081</v>
      </c>
      <c r="C227" s="34" t="s">
        <v>833</v>
      </c>
      <c r="D227" s="34"/>
      <c r="E227" s="34"/>
      <c r="F227" s="34"/>
      <c r="G227" s="34"/>
    </row>
    <row r="228" spans="1:7">
      <c r="A228" s="34"/>
      <c r="B228" s="45" t="s">
        <v>1082</v>
      </c>
      <c r="C228" s="34" t="s">
        <v>833</v>
      </c>
      <c r="D228" s="34"/>
      <c r="E228" s="34"/>
      <c r="F228" s="34"/>
      <c r="G228" s="34"/>
    </row>
    <row r="229" spans="1:7">
      <c r="A229" s="34"/>
      <c r="B229" s="45" t="s">
        <v>895</v>
      </c>
      <c r="C229" s="34" t="s">
        <v>833</v>
      </c>
      <c r="D229" s="34"/>
      <c r="E229" s="34"/>
      <c r="F229" s="34"/>
      <c r="G229" s="34"/>
    </row>
    <row r="230" ht="28" spans="1:7">
      <c r="A230" s="34"/>
      <c r="B230" s="38" t="s">
        <v>1083</v>
      </c>
      <c r="C230" s="34" t="s">
        <v>905</v>
      </c>
      <c r="D230" s="34"/>
      <c r="E230" s="34"/>
      <c r="F230" s="34"/>
      <c r="G230" s="34"/>
    </row>
    <row r="231" spans="1:7">
      <c r="A231" s="34"/>
      <c r="B231" s="38" t="s">
        <v>1084</v>
      </c>
      <c r="C231" s="34" t="s">
        <v>905</v>
      </c>
      <c r="D231" s="34"/>
      <c r="E231" s="34"/>
      <c r="F231" s="34"/>
      <c r="G231" s="34"/>
    </row>
    <row r="232" spans="1:7">
      <c r="A232" s="34"/>
      <c r="B232" s="38" t="s">
        <v>1085</v>
      </c>
      <c r="C232" s="34" t="s">
        <v>905</v>
      </c>
      <c r="D232" s="34"/>
      <c r="E232" s="34"/>
      <c r="F232" s="34"/>
      <c r="G232" s="34"/>
    </row>
    <row r="233" spans="1:7">
      <c r="A233" s="34"/>
      <c r="B233" s="39" t="s">
        <v>1086</v>
      </c>
      <c r="C233" s="34" t="s">
        <v>905</v>
      </c>
      <c r="D233" s="34"/>
      <c r="E233" s="34"/>
      <c r="F233" s="34"/>
      <c r="G233" s="34"/>
    </row>
    <row r="234" ht="28" spans="1:7">
      <c r="A234" s="34"/>
      <c r="B234" s="38" t="s">
        <v>1087</v>
      </c>
      <c r="C234" s="34" t="s">
        <v>905</v>
      </c>
      <c r="D234" s="34"/>
      <c r="E234" s="34"/>
      <c r="F234" s="34"/>
      <c r="G234" s="34"/>
    </row>
    <row r="235" spans="1:7">
      <c r="A235" s="32" t="s">
        <v>137</v>
      </c>
      <c r="B235" s="37" t="s">
        <v>895</v>
      </c>
      <c r="C235" s="32" t="s">
        <v>833</v>
      </c>
      <c r="D235" s="37" t="s">
        <v>1016</v>
      </c>
      <c r="E235" s="32" t="s">
        <v>837</v>
      </c>
      <c r="F235" s="37" t="s">
        <v>1017</v>
      </c>
      <c r="G235" s="32" t="s">
        <v>837</v>
      </c>
    </row>
    <row r="236" spans="1:7">
      <c r="A236" s="34" t="s">
        <v>137</v>
      </c>
      <c r="B236" s="46" t="s">
        <v>1088</v>
      </c>
      <c r="C236" s="34" t="s">
        <v>833</v>
      </c>
      <c r="D236" s="38" t="s">
        <v>1019</v>
      </c>
      <c r="E236" s="34" t="s">
        <v>837</v>
      </c>
      <c r="F236" s="38" t="s">
        <v>1020</v>
      </c>
      <c r="G236" s="34" t="s">
        <v>837</v>
      </c>
    </row>
    <row r="237" spans="1:7">
      <c r="A237" s="34" t="s">
        <v>137</v>
      </c>
      <c r="B237" s="46" t="s">
        <v>1089</v>
      </c>
      <c r="C237" s="34" t="s">
        <v>833</v>
      </c>
      <c r="D237" s="38" t="s">
        <v>908</v>
      </c>
      <c r="E237" s="34" t="s">
        <v>905</v>
      </c>
      <c r="F237" s="38" t="s">
        <v>915</v>
      </c>
      <c r="G237" s="34" t="s">
        <v>905</v>
      </c>
    </row>
    <row r="238" spans="1:7">
      <c r="A238" s="34" t="s">
        <v>137</v>
      </c>
      <c r="B238" s="46" t="s">
        <v>1090</v>
      </c>
      <c r="C238" s="34" t="s">
        <v>833</v>
      </c>
      <c r="D238" s="38" t="s">
        <v>911</v>
      </c>
      <c r="E238" s="34" t="s">
        <v>905</v>
      </c>
      <c r="F238" s="38" t="s">
        <v>917</v>
      </c>
      <c r="G238" s="34" t="s">
        <v>905</v>
      </c>
    </row>
    <row r="239" spans="1:7">
      <c r="A239" s="34" t="s">
        <v>137</v>
      </c>
      <c r="B239" s="46" t="s">
        <v>1091</v>
      </c>
      <c r="C239" s="34" t="s">
        <v>833</v>
      </c>
      <c r="D239" s="38" t="s">
        <v>914</v>
      </c>
      <c r="E239" s="34" t="s">
        <v>905</v>
      </c>
      <c r="F239" s="38" t="s">
        <v>919</v>
      </c>
      <c r="G239" s="34" t="s">
        <v>905</v>
      </c>
    </row>
    <row r="240" spans="1:7">
      <c r="A240" s="34" t="s">
        <v>137</v>
      </c>
      <c r="B240" s="46" t="s">
        <v>1092</v>
      </c>
      <c r="C240" s="34" t="s">
        <v>833</v>
      </c>
      <c r="D240" s="39" t="s">
        <v>1093</v>
      </c>
      <c r="E240" s="34" t="s">
        <v>905</v>
      </c>
      <c r="F240" s="39" t="s">
        <v>1094</v>
      </c>
      <c r="G240" s="34" t="s">
        <v>905</v>
      </c>
    </row>
    <row r="241" spans="1:7">
      <c r="A241" s="34" t="s">
        <v>137</v>
      </c>
      <c r="B241" s="46" t="s">
        <v>1095</v>
      </c>
      <c r="C241" s="34" t="s">
        <v>833</v>
      </c>
      <c r="D241" s="39" t="s">
        <v>909</v>
      </c>
      <c r="E241" s="34" t="s">
        <v>905</v>
      </c>
      <c r="F241" s="39" t="s">
        <v>1026</v>
      </c>
      <c r="G241" s="34" t="s">
        <v>905</v>
      </c>
    </row>
    <row r="242" spans="1:7">
      <c r="A242" s="34" t="s">
        <v>137</v>
      </c>
      <c r="B242" s="46" t="s">
        <v>1096</v>
      </c>
      <c r="C242" s="34" t="s">
        <v>833</v>
      </c>
      <c r="D242" s="39" t="s">
        <v>912</v>
      </c>
      <c r="E242" s="34" t="s">
        <v>905</v>
      </c>
      <c r="F242" s="39" t="s">
        <v>1028</v>
      </c>
      <c r="G242" s="34" t="s">
        <v>905</v>
      </c>
    </row>
    <row r="243" spans="1:7">
      <c r="A243" s="34" t="s">
        <v>137</v>
      </c>
      <c r="B243" s="46" t="s">
        <v>1097</v>
      </c>
      <c r="C243" s="34" t="s">
        <v>833</v>
      </c>
      <c r="D243" s="39" t="s">
        <v>1030</v>
      </c>
      <c r="E243" s="34" t="s">
        <v>905</v>
      </c>
      <c r="F243" s="39" t="s">
        <v>1098</v>
      </c>
      <c r="G243" s="34" t="s">
        <v>905</v>
      </c>
    </row>
    <row r="244" spans="1:7">
      <c r="A244" s="34" t="s">
        <v>137</v>
      </c>
      <c r="B244" s="46" t="s">
        <v>1099</v>
      </c>
      <c r="C244" s="34" t="s">
        <v>833</v>
      </c>
      <c r="D244" s="39" t="s">
        <v>1033</v>
      </c>
      <c r="E244" s="34" t="s">
        <v>905</v>
      </c>
      <c r="F244" s="39" t="s">
        <v>1100</v>
      </c>
      <c r="G244" s="34" t="s">
        <v>905</v>
      </c>
    </row>
    <row r="245" spans="1:7">
      <c r="A245" s="34" t="s">
        <v>137</v>
      </c>
      <c r="B245" s="46" t="s">
        <v>1101</v>
      </c>
      <c r="C245" s="34" t="s">
        <v>833</v>
      </c>
      <c r="D245" s="34"/>
      <c r="E245" s="34"/>
      <c r="F245" s="34"/>
      <c r="G245" s="34"/>
    </row>
    <row r="246" spans="1:7">
      <c r="A246" s="34" t="s">
        <v>137</v>
      </c>
      <c r="B246" s="46" t="s">
        <v>1102</v>
      </c>
      <c r="C246" s="34" t="s">
        <v>833</v>
      </c>
      <c r="D246" s="34"/>
      <c r="E246" s="34"/>
      <c r="F246" s="34"/>
      <c r="G246" s="34"/>
    </row>
    <row r="247" spans="1:7">
      <c r="A247" s="34" t="s">
        <v>137</v>
      </c>
      <c r="B247" s="46" t="s">
        <v>1103</v>
      </c>
      <c r="C247" s="34" t="s">
        <v>833</v>
      </c>
      <c r="D247" s="34"/>
      <c r="E247" s="34"/>
      <c r="F247" s="34"/>
      <c r="G247" s="34"/>
    </row>
    <row r="248" spans="1:7">
      <c r="A248" s="34" t="s">
        <v>137</v>
      </c>
      <c r="B248" s="46" t="s">
        <v>1104</v>
      </c>
      <c r="C248" s="34" t="s">
        <v>833</v>
      </c>
      <c r="D248" s="34"/>
      <c r="E248" s="34"/>
      <c r="F248" s="34"/>
      <c r="G248" s="34"/>
    </row>
    <row r="249" spans="1:7">
      <c r="A249" s="34" t="s">
        <v>137</v>
      </c>
      <c r="B249" s="46" t="s">
        <v>1105</v>
      </c>
      <c r="C249" s="34" t="s">
        <v>833</v>
      </c>
      <c r="D249" s="34"/>
      <c r="E249" s="34"/>
      <c r="F249" s="34"/>
      <c r="G249" s="34"/>
    </row>
    <row r="250" spans="1:7">
      <c r="A250" s="34" t="s">
        <v>137</v>
      </c>
      <c r="B250" s="46" t="s">
        <v>1106</v>
      </c>
      <c r="C250" s="34" t="s">
        <v>833</v>
      </c>
      <c r="D250" s="34"/>
      <c r="E250" s="34"/>
      <c r="F250" s="34"/>
      <c r="G250" s="34"/>
    </row>
    <row r="251" spans="1:7">
      <c r="A251" s="34" t="s">
        <v>137</v>
      </c>
      <c r="B251" s="46" t="s">
        <v>1107</v>
      </c>
      <c r="C251" s="34" t="s">
        <v>833</v>
      </c>
      <c r="D251" s="34"/>
      <c r="E251" s="34"/>
      <c r="F251" s="34"/>
      <c r="G251" s="34"/>
    </row>
    <row r="252" spans="1:7">
      <c r="A252" s="34" t="s">
        <v>137</v>
      </c>
      <c r="B252" s="46" t="s">
        <v>1108</v>
      </c>
      <c r="C252" s="34" t="s">
        <v>833</v>
      </c>
      <c r="D252" s="34"/>
      <c r="E252" s="34"/>
      <c r="F252" s="34"/>
      <c r="G252" s="34"/>
    </row>
    <row r="253" spans="1:7">
      <c r="A253" s="34" t="s">
        <v>137</v>
      </c>
      <c r="B253" s="46" t="s">
        <v>1109</v>
      </c>
      <c r="C253" s="34" t="s">
        <v>833</v>
      </c>
      <c r="D253" s="34"/>
      <c r="E253" s="34"/>
      <c r="F253" s="34"/>
      <c r="G253" s="34"/>
    </row>
    <row r="254" spans="1:7">
      <c r="A254" s="34" t="s">
        <v>137</v>
      </c>
      <c r="B254" s="46" t="s">
        <v>1110</v>
      </c>
      <c r="C254" s="34" t="s">
        <v>833</v>
      </c>
      <c r="D254" s="34"/>
      <c r="E254" s="34"/>
      <c r="F254" s="34"/>
      <c r="G254" s="34"/>
    </row>
    <row r="255" spans="1:7">
      <c r="A255" s="34" t="s">
        <v>137</v>
      </c>
      <c r="B255" s="46" t="s">
        <v>1111</v>
      </c>
      <c r="C255" s="34" t="s">
        <v>833</v>
      </c>
      <c r="D255" s="34"/>
      <c r="E255" s="34"/>
      <c r="F255" s="34"/>
      <c r="G255" s="34"/>
    </row>
    <row r="256" spans="1:7">
      <c r="A256" s="34" t="s">
        <v>137</v>
      </c>
      <c r="B256" s="46" t="s">
        <v>1112</v>
      </c>
      <c r="C256" s="34" t="s">
        <v>833</v>
      </c>
      <c r="D256" s="34"/>
      <c r="E256" s="34"/>
      <c r="F256" s="34"/>
      <c r="G256" s="34"/>
    </row>
    <row r="257" spans="1:7">
      <c r="A257" s="34" t="s">
        <v>137</v>
      </c>
      <c r="B257" s="46" t="s">
        <v>1113</v>
      </c>
      <c r="C257" s="34" t="s">
        <v>833</v>
      </c>
      <c r="D257" s="34"/>
      <c r="E257" s="34"/>
      <c r="F257" s="34"/>
      <c r="G257" s="34"/>
    </row>
    <row r="258" spans="1:7">
      <c r="A258" s="34" t="s">
        <v>137</v>
      </c>
      <c r="B258" s="46" t="s">
        <v>1114</v>
      </c>
      <c r="C258" s="34" t="s">
        <v>833</v>
      </c>
      <c r="D258" s="34"/>
      <c r="E258" s="34"/>
      <c r="F258" s="34"/>
      <c r="G258" s="34"/>
    </row>
    <row r="259" spans="1:7">
      <c r="A259" s="34" t="s">
        <v>137</v>
      </c>
      <c r="B259" s="46" t="s">
        <v>1115</v>
      </c>
      <c r="C259" s="34" t="s">
        <v>833</v>
      </c>
      <c r="D259" s="34"/>
      <c r="E259" s="34"/>
      <c r="F259" s="34"/>
      <c r="G259" s="34"/>
    </row>
    <row r="260" spans="1:7">
      <c r="A260" s="34" t="s">
        <v>137</v>
      </c>
      <c r="B260" s="46" t="s">
        <v>1116</v>
      </c>
      <c r="C260" s="34" t="s">
        <v>833</v>
      </c>
      <c r="D260" s="34"/>
      <c r="E260" s="34"/>
      <c r="F260" s="34"/>
      <c r="G260" s="34"/>
    </row>
    <row r="261" spans="1:7">
      <c r="A261" s="34" t="s">
        <v>137</v>
      </c>
      <c r="B261" s="38" t="s">
        <v>1051</v>
      </c>
      <c r="C261" s="34" t="s">
        <v>837</v>
      </c>
      <c r="D261" s="34"/>
      <c r="E261" s="34"/>
      <c r="F261" s="34"/>
      <c r="G261" s="34"/>
    </row>
    <row r="262" spans="1:7">
      <c r="A262" s="34" t="s">
        <v>137</v>
      </c>
      <c r="B262" s="38" t="s">
        <v>1052</v>
      </c>
      <c r="C262" s="34" t="s">
        <v>837</v>
      </c>
      <c r="D262" s="34"/>
      <c r="E262" s="34"/>
      <c r="F262" s="34"/>
      <c r="G262" s="34"/>
    </row>
    <row r="263" spans="1:7">
      <c r="A263" s="34" t="s">
        <v>137</v>
      </c>
      <c r="B263" s="38" t="s">
        <v>1053</v>
      </c>
      <c r="C263" s="34" t="s">
        <v>837</v>
      </c>
      <c r="D263" s="34"/>
      <c r="E263" s="34"/>
      <c r="F263" s="34"/>
      <c r="G263" s="34"/>
    </row>
    <row r="264" spans="1:7">
      <c r="A264" s="34"/>
      <c r="B264" s="38" t="s">
        <v>1117</v>
      </c>
      <c r="C264" s="34" t="s">
        <v>905</v>
      </c>
      <c r="D264" s="34"/>
      <c r="E264" s="34"/>
      <c r="F264" s="34"/>
      <c r="G264" s="34"/>
    </row>
    <row r="265" spans="1:7">
      <c r="A265" s="34"/>
      <c r="B265" s="38" t="s">
        <v>1056</v>
      </c>
      <c r="C265" s="34" t="s">
        <v>905</v>
      </c>
      <c r="D265" s="34"/>
      <c r="E265" s="34"/>
      <c r="F265" s="34"/>
      <c r="G265" s="34"/>
    </row>
    <row r="266" spans="1:7">
      <c r="A266" s="34"/>
      <c r="B266" s="39" t="s">
        <v>1118</v>
      </c>
      <c r="C266" s="34" t="s">
        <v>905</v>
      </c>
      <c r="D266" s="34"/>
      <c r="E266" s="34"/>
      <c r="F266" s="34"/>
      <c r="G266" s="34"/>
    </row>
    <row r="267" spans="1:7">
      <c r="A267" s="34"/>
      <c r="B267" s="39" t="s">
        <v>1119</v>
      </c>
      <c r="C267" s="34" t="s">
        <v>905</v>
      </c>
      <c r="D267" s="34"/>
      <c r="E267" s="34"/>
      <c r="F267" s="34"/>
      <c r="G267" s="34"/>
    </row>
    <row r="268" ht="29" spans="1:7">
      <c r="A268" s="34"/>
      <c r="B268" s="39" t="s">
        <v>1120</v>
      </c>
      <c r="C268" s="34" t="s">
        <v>905</v>
      </c>
      <c r="D268" s="34"/>
      <c r="E268" s="34"/>
      <c r="F268" s="34"/>
      <c r="G268" s="34"/>
    </row>
    <row r="269" spans="1:7">
      <c r="A269" s="32" t="s">
        <v>825</v>
      </c>
      <c r="B269" s="47" t="s">
        <v>1121</v>
      </c>
      <c r="C269" s="32" t="s">
        <v>833</v>
      </c>
      <c r="D269" s="47" t="s">
        <v>1122</v>
      </c>
      <c r="E269" s="32" t="s">
        <v>833</v>
      </c>
      <c r="F269" s="47" t="s">
        <v>1123</v>
      </c>
      <c r="G269" s="32" t="s">
        <v>833</v>
      </c>
    </row>
    <row r="270" spans="1:7">
      <c r="A270" s="34" t="s">
        <v>825</v>
      </c>
      <c r="B270" s="39" t="s">
        <v>1124</v>
      </c>
      <c r="C270" s="34" t="s">
        <v>833</v>
      </c>
      <c r="D270" s="39" t="s">
        <v>1125</v>
      </c>
      <c r="E270" s="34" t="s">
        <v>833</v>
      </c>
      <c r="F270" s="39" t="s">
        <v>1126</v>
      </c>
      <c r="G270" s="34" t="s">
        <v>833</v>
      </c>
    </row>
    <row r="271" spans="1:7">
      <c r="A271" s="34" t="s">
        <v>825</v>
      </c>
      <c r="B271" s="39" t="s">
        <v>1127</v>
      </c>
      <c r="C271" s="34" t="s">
        <v>833</v>
      </c>
      <c r="D271" s="39" t="s">
        <v>1128</v>
      </c>
      <c r="E271" s="34" t="s">
        <v>833</v>
      </c>
      <c r="F271" s="39" t="s">
        <v>1129</v>
      </c>
      <c r="G271" s="34" t="s">
        <v>833</v>
      </c>
    </row>
    <row r="272" spans="1:7">
      <c r="A272" s="34" t="s">
        <v>825</v>
      </c>
      <c r="B272" s="39" t="s">
        <v>1130</v>
      </c>
      <c r="C272" s="34" t="s">
        <v>833</v>
      </c>
      <c r="D272" s="39" t="s">
        <v>1131</v>
      </c>
      <c r="E272" s="34" t="s">
        <v>833</v>
      </c>
      <c r="F272" s="39" t="s">
        <v>1132</v>
      </c>
      <c r="G272" s="34" t="s">
        <v>833</v>
      </c>
    </row>
    <row r="273" spans="1:7">
      <c r="A273" s="34" t="s">
        <v>825</v>
      </c>
      <c r="B273" s="39" t="s">
        <v>1133</v>
      </c>
      <c r="C273" s="34" t="s">
        <v>833</v>
      </c>
      <c r="D273" s="39" t="s">
        <v>1134</v>
      </c>
      <c r="E273" s="34" t="s">
        <v>833</v>
      </c>
      <c r="F273" s="39" t="s">
        <v>1135</v>
      </c>
      <c r="G273" s="34" t="s">
        <v>833</v>
      </c>
    </row>
    <row r="274" spans="1:7">
      <c r="A274" s="34" t="s">
        <v>825</v>
      </c>
      <c r="B274" s="39" t="s">
        <v>1136</v>
      </c>
      <c r="C274" s="34" t="s">
        <v>833</v>
      </c>
      <c r="D274" s="39" t="s">
        <v>1137</v>
      </c>
      <c r="E274" s="34" t="s">
        <v>833</v>
      </c>
      <c r="F274" s="39" t="s">
        <v>1138</v>
      </c>
      <c r="G274" s="34" t="s">
        <v>833</v>
      </c>
    </row>
    <row r="275" spans="1:7">
      <c r="A275" s="34" t="s">
        <v>825</v>
      </c>
      <c r="B275" s="39" t="s">
        <v>1139</v>
      </c>
      <c r="C275" s="34" t="s">
        <v>833</v>
      </c>
      <c r="D275" s="39" t="s">
        <v>1140</v>
      </c>
      <c r="E275" s="34" t="s">
        <v>833</v>
      </c>
      <c r="F275" s="39" t="s">
        <v>1141</v>
      </c>
      <c r="G275" s="34" t="s">
        <v>833</v>
      </c>
    </row>
    <row r="276" spans="1:7">
      <c r="A276" s="34" t="s">
        <v>825</v>
      </c>
      <c r="B276" s="34"/>
      <c r="C276" s="34"/>
      <c r="D276" s="39" t="s">
        <v>1142</v>
      </c>
      <c r="E276" s="34" t="s">
        <v>833</v>
      </c>
      <c r="F276" s="39" t="s">
        <v>1143</v>
      </c>
      <c r="G276" s="34" t="s">
        <v>833</v>
      </c>
    </row>
    <row r="277" spans="1:7">
      <c r="A277" s="34" t="s">
        <v>825</v>
      </c>
      <c r="B277" s="34"/>
      <c r="C277" s="34"/>
      <c r="D277" s="39" t="s">
        <v>1144</v>
      </c>
      <c r="E277" s="34" t="s">
        <v>833</v>
      </c>
      <c r="F277" s="39" t="s">
        <v>1145</v>
      </c>
      <c r="G277" s="34" t="s">
        <v>833</v>
      </c>
    </row>
    <row r="278" spans="1:7">
      <c r="A278" s="34" t="s">
        <v>825</v>
      </c>
      <c r="B278" s="34"/>
      <c r="C278" s="34"/>
      <c r="D278" s="39" t="s">
        <v>1146</v>
      </c>
      <c r="E278" s="34" t="s">
        <v>833</v>
      </c>
      <c r="F278" s="39" t="s">
        <v>1147</v>
      </c>
      <c r="G278" s="34" t="s">
        <v>833</v>
      </c>
    </row>
    <row r="279" spans="1:7">
      <c r="A279" s="34" t="s">
        <v>825</v>
      </c>
      <c r="B279" s="34"/>
      <c r="C279" s="34"/>
      <c r="D279" s="39" t="s">
        <v>1148</v>
      </c>
      <c r="E279" s="34" t="s">
        <v>833</v>
      </c>
      <c r="F279" s="39" t="s">
        <v>1149</v>
      </c>
      <c r="G279" s="34" t="s">
        <v>833</v>
      </c>
    </row>
    <row r="280" spans="1:7">
      <c r="A280" s="34" t="s">
        <v>825</v>
      </c>
      <c r="B280" s="34"/>
      <c r="C280" s="34"/>
      <c r="D280" s="34"/>
      <c r="E280" s="34"/>
      <c r="F280" s="39" t="s">
        <v>1150</v>
      </c>
      <c r="G280" s="34" t="s">
        <v>833</v>
      </c>
    </row>
    <row r="281" spans="1:7">
      <c r="A281" s="34" t="s">
        <v>825</v>
      </c>
      <c r="B281" s="34"/>
      <c r="C281" s="34"/>
      <c r="D281" s="34"/>
      <c r="E281" s="34"/>
      <c r="F281" s="39" t="s">
        <v>1151</v>
      </c>
      <c r="G281" s="34" t="s">
        <v>837</v>
      </c>
    </row>
    <row r="282" spans="1:7">
      <c r="A282" s="34" t="s">
        <v>825</v>
      </c>
      <c r="B282" s="34"/>
      <c r="C282" s="34"/>
      <c r="D282" s="34"/>
      <c r="E282" s="34"/>
      <c r="F282" s="39" t="s">
        <v>1152</v>
      </c>
      <c r="G282" s="34" t="s">
        <v>837</v>
      </c>
    </row>
    <row r="283" spans="1:7">
      <c r="A283" s="34" t="s">
        <v>825</v>
      </c>
      <c r="B283" s="34"/>
      <c r="C283" s="34"/>
      <c r="D283" s="34"/>
      <c r="E283" s="34"/>
      <c r="F283" s="39" t="s">
        <v>1153</v>
      </c>
      <c r="G283" s="34" t="s">
        <v>837</v>
      </c>
    </row>
    <row r="284" spans="1:7">
      <c r="A284" s="34" t="s">
        <v>825</v>
      </c>
      <c r="B284" s="34"/>
      <c r="C284" s="34"/>
      <c r="D284" s="34"/>
      <c r="E284" s="34"/>
      <c r="F284" s="39" t="s">
        <v>1154</v>
      </c>
      <c r="G284" s="34" t="s">
        <v>837</v>
      </c>
    </row>
    <row r="285" spans="1:7">
      <c r="A285" s="34" t="s">
        <v>825</v>
      </c>
      <c r="B285" s="34"/>
      <c r="C285" s="34"/>
      <c r="D285" s="34"/>
      <c r="E285" s="34"/>
      <c r="F285" s="39" t="s">
        <v>1155</v>
      </c>
      <c r="G285" s="34" t="s">
        <v>905</v>
      </c>
    </row>
    <row r="286" spans="1:7">
      <c r="A286" s="34" t="s">
        <v>825</v>
      </c>
      <c r="B286" s="34"/>
      <c r="C286" s="34"/>
      <c r="D286" s="34"/>
      <c r="E286" s="34"/>
      <c r="F286" s="39" t="s">
        <v>1156</v>
      </c>
      <c r="G286" s="34" t="s">
        <v>905</v>
      </c>
    </row>
    <row r="287" spans="1:7">
      <c r="A287" s="34" t="s">
        <v>825</v>
      </c>
      <c r="B287" s="34"/>
      <c r="C287" s="34"/>
      <c r="D287" s="34"/>
      <c r="E287" s="34"/>
      <c r="F287" s="39" t="s">
        <v>1157</v>
      </c>
      <c r="G287" s="34" t="s">
        <v>905</v>
      </c>
    </row>
    <row r="288" spans="1:7">
      <c r="A288" s="34" t="s">
        <v>825</v>
      </c>
      <c r="B288" s="34"/>
      <c r="C288" s="34"/>
      <c r="D288" s="34"/>
      <c r="E288" s="34"/>
      <c r="F288" s="39" t="s">
        <v>909</v>
      </c>
      <c r="G288" s="34" t="s">
        <v>905</v>
      </c>
    </row>
    <row r="289" spans="1:7">
      <c r="A289" s="34" t="s">
        <v>825</v>
      </c>
      <c r="B289" s="34"/>
      <c r="C289" s="34"/>
      <c r="D289" s="34"/>
      <c r="E289" s="34"/>
      <c r="F289" s="39" t="s">
        <v>1158</v>
      </c>
      <c r="G289" s="34" t="s">
        <v>905</v>
      </c>
    </row>
    <row r="290" ht="29" spans="1:7">
      <c r="A290" s="34" t="s">
        <v>825</v>
      </c>
      <c r="B290" s="34"/>
      <c r="C290" s="34"/>
      <c r="D290" s="34"/>
      <c r="E290" s="34"/>
      <c r="F290" s="48" t="s">
        <v>1159</v>
      </c>
      <c r="G290" s="34" t="s">
        <v>905</v>
      </c>
    </row>
    <row r="291" ht="29" spans="1:7">
      <c r="A291" s="34" t="s">
        <v>825</v>
      </c>
      <c r="B291" s="34"/>
      <c r="C291" s="34"/>
      <c r="D291" s="34"/>
      <c r="E291" s="34"/>
      <c r="F291" s="48" t="s">
        <v>1160</v>
      </c>
      <c r="G291" s="34" t="s">
        <v>905</v>
      </c>
    </row>
    <row r="292" spans="1:7">
      <c r="A292" s="34" t="s">
        <v>825</v>
      </c>
      <c r="B292" s="34"/>
      <c r="C292" s="34"/>
      <c r="D292" s="34"/>
      <c r="E292" s="34"/>
      <c r="F292" s="48" t="s">
        <v>1161</v>
      </c>
      <c r="G292" s="34" t="s">
        <v>905</v>
      </c>
    </row>
    <row r="293" spans="1:7">
      <c r="A293" s="34" t="s">
        <v>825</v>
      </c>
      <c r="B293" s="34"/>
      <c r="C293" s="34"/>
      <c r="D293" s="34"/>
      <c r="E293" s="34"/>
      <c r="F293" s="48" t="s">
        <v>1162</v>
      </c>
      <c r="G293" s="34" t="s">
        <v>905</v>
      </c>
    </row>
    <row r="294" spans="1:7">
      <c r="A294" s="32" t="s">
        <v>527</v>
      </c>
      <c r="B294" s="47" t="s">
        <v>895</v>
      </c>
      <c r="C294" s="32" t="s">
        <v>833</v>
      </c>
      <c r="D294" s="47" t="s">
        <v>1163</v>
      </c>
      <c r="E294" s="32" t="s">
        <v>833</v>
      </c>
      <c r="F294" s="47" t="s">
        <v>1164</v>
      </c>
      <c r="G294" s="32" t="s">
        <v>905</v>
      </c>
    </row>
    <row r="295" spans="1:7">
      <c r="A295" s="34" t="s">
        <v>527</v>
      </c>
      <c r="B295" s="39" t="s">
        <v>1165</v>
      </c>
      <c r="C295" s="34" t="s">
        <v>833</v>
      </c>
      <c r="D295" s="39" t="s">
        <v>1166</v>
      </c>
      <c r="E295" s="34" t="s">
        <v>833</v>
      </c>
      <c r="F295" s="39" t="s">
        <v>1167</v>
      </c>
      <c r="G295" s="34" t="s">
        <v>905</v>
      </c>
    </row>
    <row r="296" spans="1:7">
      <c r="A296" s="34" t="s">
        <v>527</v>
      </c>
      <c r="B296" s="39" t="s">
        <v>1168</v>
      </c>
      <c r="C296" s="34" t="s">
        <v>833</v>
      </c>
      <c r="D296" s="39" t="s">
        <v>1169</v>
      </c>
      <c r="E296" s="34" t="s">
        <v>833</v>
      </c>
      <c r="F296" s="39" t="s">
        <v>1170</v>
      </c>
      <c r="G296" s="34" t="s">
        <v>905</v>
      </c>
    </row>
    <row r="297" spans="1:7">
      <c r="A297" s="34" t="s">
        <v>527</v>
      </c>
      <c r="B297" s="39" t="s">
        <v>1171</v>
      </c>
      <c r="C297" s="34" t="s">
        <v>833</v>
      </c>
      <c r="D297" s="39" t="s">
        <v>1172</v>
      </c>
      <c r="E297" s="34" t="s">
        <v>833</v>
      </c>
      <c r="F297" s="34"/>
      <c r="G297" s="34"/>
    </row>
    <row r="298" spans="1:7">
      <c r="A298" s="34" t="s">
        <v>527</v>
      </c>
      <c r="B298" s="39" t="s">
        <v>1173</v>
      </c>
      <c r="C298" s="34" t="s">
        <v>833</v>
      </c>
      <c r="D298" s="39" t="s">
        <v>1174</v>
      </c>
      <c r="E298" s="34" t="s">
        <v>905</v>
      </c>
      <c r="F298" s="34"/>
      <c r="G298" s="34"/>
    </row>
    <row r="299" spans="1:7">
      <c r="A299" s="34" t="s">
        <v>527</v>
      </c>
      <c r="B299" s="39" t="s">
        <v>1175</v>
      </c>
      <c r="C299" s="34" t="s">
        <v>833</v>
      </c>
      <c r="D299" s="39" t="s">
        <v>1176</v>
      </c>
      <c r="E299" s="34" t="s">
        <v>905</v>
      </c>
      <c r="F299" s="34"/>
      <c r="G299" s="34"/>
    </row>
    <row r="300" spans="1:7">
      <c r="A300" s="34" t="s">
        <v>527</v>
      </c>
      <c r="B300" s="39" t="s">
        <v>1177</v>
      </c>
      <c r="C300" s="34" t="s">
        <v>833</v>
      </c>
      <c r="D300" s="39" t="s">
        <v>1178</v>
      </c>
      <c r="E300" s="34" t="s">
        <v>905</v>
      </c>
      <c r="F300" s="34"/>
      <c r="G300" s="34"/>
    </row>
    <row r="301" spans="1:7">
      <c r="A301" s="32" t="s">
        <v>412</v>
      </c>
      <c r="B301" s="37" t="s">
        <v>1179</v>
      </c>
      <c r="C301" s="32" t="s">
        <v>833</v>
      </c>
      <c r="D301" s="37" t="s">
        <v>1180</v>
      </c>
      <c r="E301" s="32" t="s">
        <v>833</v>
      </c>
      <c r="F301" s="37" t="s">
        <v>1181</v>
      </c>
      <c r="G301" s="32" t="s">
        <v>833</v>
      </c>
    </row>
    <row r="302" spans="1:7">
      <c r="A302" s="34" t="s">
        <v>412</v>
      </c>
      <c r="B302" s="38" t="s">
        <v>1182</v>
      </c>
      <c r="C302" s="34" t="s">
        <v>833</v>
      </c>
      <c r="D302" s="38" t="s">
        <v>1183</v>
      </c>
      <c r="E302" s="34" t="s">
        <v>833</v>
      </c>
      <c r="F302" s="38" t="s">
        <v>1184</v>
      </c>
      <c r="G302" s="34" t="s">
        <v>833</v>
      </c>
    </row>
    <row r="303" spans="1:7">
      <c r="A303" s="34" t="s">
        <v>412</v>
      </c>
      <c r="B303" s="38" t="s">
        <v>1185</v>
      </c>
      <c r="C303" s="34" t="s">
        <v>833</v>
      </c>
      <c r="D303" s="38" t="s">
        <v>1186</v>
      </c>
      <c r="E303" s="34" t="s">
        <v>833</v>
      </c>
      <c r="F303" s="38" t="s">
        <v>1187</v>
      </c>
      <c r="G303" s="34" t="s">
        <v>833</v>
      </c>
    </row>
    <row r="304" spans="1:7">
      <c r="A304" s="34" t="s">
        <v>412</v>
      </c>
      <c r="B304" s="38" t="s">
        <v>1188</v>
      </c>
      <c r="C304" s="34" t="s">
        <v>905</v>
      </c>
      <c r="D304" s="38" t="s">
        <v>1189</v>
      </c>
      <c r="E304" s="34" t="s">
        <v>837</v>
      </c>
      <c r="F304" s="38" t="s">
        <v>1190</v>
      </c>
      <c r="G304" s="34" t="s">
        <v>837</v>
      </c>
    </row>
    <row r="305" ht="28" spans="1:7">
      <c r="A305" s="34" t="s">
        <v>412</v>
      </c>
      <c r="B305" s="38" t="s">
        <v>1191</v>
      </c>
      <c r="C305" s="34" t="s">
        <v>905</v>
      </c>
      <c r="D305" s="38" t="s">
        <v>1192</v>
      </c>
      <c r="E305" s="34" t="s">
        <v>837</v>
      </c>
      <c r="F305" s="38" t="s">
        <v>1193</v>
      </c>
      <c r="G305" s="34" t="s">
        <v>837</v>
      </c>
    </row>
    <row r="306" ht="28" spans="1:7">
      <c r="A306" s="34" t="s">
        <v>412</v>
      </c>
      <c r="B306" s="38" t="s">
        <v>1194</v>
      </c>
      <c r="C306" s="34" t="s">
        <v>905</v>
      </c>
      <c r="D306" s="38" t="s">
        <v>1195</v>
      </c>
      <c r="E306" s="34" t="s">
        <v>837</v>
      </c>
      <c r="F306" s="38" t="s">
        <v>1196</v>
      </c>
      <c r="G306" s="34" t="s">
        <v>837</v>
      </c>
    </row>
    <row r="307" ht="28" spans="1:7">
      <c r="A307" s="34" t="s">
        <v>412</v>
      </c>
      <c r="B307" s="34"/>
      <c r="C307" s="34"/>
      <c r="D307" s="49" t="s">
        <v>1197</v>
      </c>
      <c r="E307" s="34" t="s">
        <v>905</v>
      </c>
      <c r="F307" s="38" t="s">
        <v>1198</v>
      </c>
      <c r="G307" s="34" t="s">
        <v>905</v>
      </c>
    </row>
    <row r="308" spans="1:7">
      <c r="A308" s="34" t="s">
        <v>412</v>
      </c>
      <c r="B308" s="34"/>
      <c r="C308" s="34"/>
      <c r="D308" s="49" t="s">
        <v>1199</v>
      </c>
      <c r="E308" s="34" t="s">
        <v>905</v>
      </c>
      <c r="F308" s="38" t="s">
        <v>1200</v>
      </c>
      <c r="G308" s="34" t="s">
        <v>905</v>
      </c>
    </row>
    <row r="309" ht="28" spans="1:7">
      <c r="A309" s="34" t="s">
        <v>412</v>
      </c>
      <c r="B309" s="34"/>
      <c r="C309" s="34"/>
      <c r="D309" s="49" t="s">
        <v>1201</v>
      </c>
      <c r="E309" s="34" t="s">
        <v>905</v>
      </c>
      <c r="F309" s="38" t="s">
        <v>1202</v>
      </c>
      <c r="G309" s="34" t="s">
        <v>905</v>
      </c>
    </row>
    <row r="310" spans="1:7">
      <c r="A310" s="32" t="s">
        <v>537</v>
      </c>
      <c r="B310" s="47" t="s">
        <v>1203</v>
      </c>
      <c r="C310" s="32" t="s">
        <v>833</v>
      </c>
      <c r="D310" s="47" t="s">
        <v>1204</v>
      </c>
      <c r="E310" s="32" t="s">
        <v>833</v>
      </c>
      <c r="F310" s="47" t="s">
        <v>1205</v>
      </c>
      <c r="G310" s="32" t="s">
        <v>833</v>
      </c>
    </row>
    <row r="311" spans="1:7">
      <c r="A311" s="34" t="s">
        <v>537</v>
      </c>
      <c r="B311" s="45" t="s">
        <v>1206</v>
      </c>
      <c r="C311" s="34" t="s">
        <v>833</v>
      </c>
      <c r="D311" s="39" t="s">
        <v>1207</v>
      </c>
      <c r="E311" s="34" t="s">
        <v>833</v>
      </c>
      <c r="F311" s="39" t="s">
        <v>1208</v>
      </c>
      <c r="G311" s="34" t="s">
        <v>833</v>
      </c>
    </row>
    <row r="312" spans="1:7">
      <c r="A312" s="34" t="s">
        <v>537</v>
      </c>
      <c r="B312" s="45" t="s">
        <v>1209</v>
      </c>
      <c r="C312" s="34" t="s">
        <v>833</v>
      </c>
      <c r="D312" s="39" t="s">
        <v>1210</v>
      </c>
      <c r="E312" s="34" t="s">
        <v>833</v>
      </c>
      <c r="F312" s="39" t="s">
        <v>1211</v>
      </c>
      <c r="G312" s="34" t="s">
        <v>833</v>
      </c>
    </row>
    <row r="313" spans="1:7">
      <c r="A313" s="34" t="s">
        <v>537</v>
      </c>
      <c r="B313" s="45" t="s">
        <v>1212</v>
      </c>
      <c r="C313" s="34" t="s">
        <v>833</v>
      </c>
      <c r="D313" s="39" t="s">
        <v>1213</v>
      </c>
      <c r="E313" s="34" t="s">
        <v>833</v>
      </c>
      <c r="F313" s="39" t="s">
        <v>1214</v>
      </c>
      <c r="G313" s="34" t="s">
        <v>833</v>
      </c>
    </row>
    <row r="314" spans="1:7">
      <c r="A314" s="34" t="s">
        <v>537</v>
      </c>
      <c r="B314" s="45" t="s">
        <v>1215</v>
      </c>
      <c r="C314" s="34" t="s">
        <v>833</v>
      </c>
      <c r="D314" s="39" t="s">
        <v>1216</v>
      </c>
      <c r="E314" s="34" t="s">
        <v>833</v>
      </c>
      <c r="F314" s="39" t="s">
        <v>1217</v>
      </c>
      <c r="G314" s="34" t="s">
        <v>833</v>
      </c>
    </row>
    <row r="315" spans="1:7">
      <c r="A315" s="34" t="s">
        <v>537</v>
      </c>
      <c r="B315" s="45" t="s">
        <v>1218</v>
      </c>
      <c r="C315" s="34" t="s">
        <v>833</v>
      </c>
      <c r="D315" s="39" t="s">
        <v>1219</v>
      </c>
      <c r="E315" s="34" t="s">
        <v>833</v>
      </c>
      <c r="F315" s="39" t="s">
        <v>1220</v>
      </c>
      <c r="G315" s="34" t="s">
        <v>833</v>
      </c>
    </row>
    <row r="316" spans="1:7">
      <c r="A316" s="34" t="s">
        <v>537</v>
      </c>
      <c r="B316" s="45" t="s">
        <v>1221</v>
      </c>
      <c r="C316" s="34" t="s">
        <v>833</v>
      </c>
      <c r="D316" s="39" t="s">
        <v>1222</v>
      </c>
      <c r="E316" s="34" t="s">
        <v>833</v>
      </c>
      <c r="F316" s="39" t="s">
        <v>1223</v>
      </c>
      <c r="G316" s="34" t="s">
        <v>833</v>
      </c>
    </row>
    <row r="317" spans="1:7">
      <c r="A317" s="34" t="s">
        <v>537</v>
      </c>
      <c r="B317" s="45" t="s">
        <v>473</v>
      </c>
      <c r="C317" s="34" t="s">
        <v>833</v>
      </c>
      <c r="D317" s="39" t="s">
        <v>1224</v>
      </c>
      <c r="E317" s="34" t="s">
        <v>833</v>
      </c>
      <c r="F317" s="39" t="s">
        <v>1225</v>
      </c>
      <c r="G317" s="34" t="s">
        <v>833</v>
      </c>
    </row>
    <row r="318" spans="1:7">
      <c r="A318" s="34" t="s">
        <v>537</v>
      </c>
      <c r="B318" s="45" t="s">
        <v>1226</v>
      </c>
      <c r="C318" s="34" t="s">
        <v>833</v>
      </c>
      <c r="D318" s="39" t="s">
        <v>1227</v>
      </c>
      <c r="E318" s="34" t="s">
        <v>833</v>
      </c>
      <c r="F318" s="39" t="s">
        <v>1228</v>
      </c>
      <c r="G318" s="34" t="s">
        <v>833</v>
      </c>
    </row>
    <row r="319" spans="1:7">
      <c r="A319" s="34" t="s">
        <v>537</v>
      </c>
      <c r="B319" s="45" t="s">
        <v>1229</v>
      </c>
      <c r="C319" s="34" t="s">
        <v>833</v>
      </c>
      <c r="D319" s="39" t="s">
        <v>1230</v>
      </c>
      <c r="E319" s="34" t="s">
        <v>833</v>
      </c>
      <c r="F319" s="34"/>
      <c r="G319" s="34"/>
    </row>
    <row r="320" spans="1:7">
      <c r="A320" s="34" t="s">
        <v>537</v>
      </c>
      <c r="B320" s="45" t="s">
        <v>1231</v>
      </c>
      <c r="C320" s="34" t="s">
        <v>833</v>
      </c>
      <c r="D320" s="39" t="s">
        <v>1232</v>
      </c>
      <c r="E320" s="34" t="s">
        <v>833</v>
      </c>
      <c r="F320" s="34"/>
      <c r="G320" s="34"/>
    </row>
    <row r="321" spans="1:7">
      <c r="A321" s="34" t="s">
        <v>537</v>
      </c>
      <c r="B321" s="45" t="s">
        <v>1233</v>
      </c>
      <c r="C321" s="34" t="s">
        <v>833</v>
      </c>
      <c r="D321" s="39" t="s">
        <v>1234</v>
      </c>
      <c r="E321" s="34" t="s">
        <v>833</v>
      </c>
      <c r="F321" s="34"/>
      <c r="G321" s="34"/>
    </row>
    <row r="322" spans="1:7">
      <c r="A322" s="34" t="s">
        <v>537</v>
      </c>
      <c r="B322" s="45" t="s">
        <v>1235</v>
      </c>
      <c r="C322" s="34" t="s">
        <v>833</v>
      </c>
      <c r="D322" s="39" t="s">
        <v>1236</v>
      </c>
      <c r="E322" s="34" t="s">
        <v>833</v>
      </c>
      <c r="F322" s="34"/>
      <c r="G322" s="34"/>
    </row>
    <row r="323" spans="1:7">
      <c r="A323" s="34" t="s">
        <v>537</v>
      </c>
      <c r="B323" s="45" t="s">
        <v>1237</v>
      </c>
      <c r="C323" s="34" t="s">
        <v>833</v>
      </c>
      <c r="D323" s="39" t="s">
        <v>1238</v>
      </c>
      <c r="E323" s="34" t="s">
        <v>833</v>
      </c>
      <c r="F323" s="34"/>
      <c r="G323" s="34"/>
    </row>
    <row r="324" spans="1:7">
      <c r="A324" s="34" t="s">
        <v>537</v>
      </c>
      <c r="B324" s="45" t="s">
        <v>1239</v>
      </c>
      <c r="C324" s="34" t="s">
        <v>833</v>
      </c>
      <c r="D324" s="39" t="s">
        <v>1240</v>
      </c>
      <c r="E324" s="34" t="s">
        <v>833</v>
      </c>
      <c r="F324" s="34"/>
      <c r="G324" s="34"/>
    </row>
    <row r="325" spans="1:7">
      <c r="A325" s="34" t="s">
        <v>537</v>
      </c>
      <c r="B325" s="45" t="s">
        <v>1241</v>
      </c>
      <c r="C325" s="34" t="s">
        <v>833</v>
      </c>
      <c r="D325" s="39" t="s">
        <v>1242</v>
      </c>
      <c r="E325" s="34" t="s">
        <v>833</v>
      </c>
      <c r="F325" s="34"/>
      <c r="G325" s="34"/>
    </row>
    <row r="326" spans="1:7">
      <c r="A326" s="34" t="s">
        <v>537</v>
      </c>
      <c r="B326" s="45" t="s">
        <v>1243</v>
      </c>
      <c r="C326" s="34" t="s">
        <v>833</v>
      </c>
      <c r="D326" s="39" t="s">
        <v>1244</v>
      </c>
      <c r="E326" s="34" t="s">
        <v>833</v>
      </c>
      <c r="F326" s="34"/>
      <c r="G326" s="34"/>
    </row>
    <row r="327" spans="1:7">
      <c r="A327" s="34" t="s">
        <v>537</v>
      </c>
      <c r="B327" s="45" t="s">
        <v>1245</v>
      </c>
      <c r="C327" s="34" t="s">
        <v>833</v>
      </c>
      <c r="D327" s="39" t="s">
        <v>1246</v>
      </c>
      <c r="E327" s="34" t="s">
        <v>833</v>
      </c>
      <c r="F327" s="34"/>
      <c r="G327" s="34"/>
    </row>
    <row r="328" spans="1:7">
      <c r="A328" s="34" t="s">
        <v>537</v>
      </c>
      <c r="B328" s="45" t="s">
        <v>1247</v>
      </c>
      <c r="C328" s="34" t="s">
        <v>833</v>
      </c>
      <c r="D328" s="39" t="s">
        <v>1248</v>
      </c>
      <c r="E328" s="34" t="s">
        <v>833</v>
      </c>
      <c r="F328" s="34"/>
      <c r="G328" s="34"/>
    </row>
    <row r="329" spans="1:7">
      <c r="A329" s="34" t="s">
        <v>537</v>
      </c>
      <c r="B329" s="45" t="s">
        <v>1249</v>
      </c>
      <c r="C329" s="34" t="s">
        <v>833</v>
      </c>
      <c r="D329" s="39" t="s">
        <v>1250</v>
      </c>
      <c r="E329" s="34" t="s">
        <v>833</v>
      </c>
      <c r="F329" s="34"/>
      <c r="G329" s="34"/>
    </row>
    <row r="330" spans="1:7">
      <c r="A330" s="34" t="s">
        <v>537</v>
      </c>
      <c r="B330" s="45" t="s">
        <v>1251</v>
      </c>
      <c r="C330" s="34" t="s">
        <v>833</v>
      </c>
      <c r="D330" s="39" t="s">
        <v>1252</v>
      </c>
      <c r="E330" s="34" t="s">
        <v>833</v>
      </c>
      <c r="F330" s="34"/>
      <c r="G330" s="34"/>
    </row>
    <row r="331" spans="1:7">
      <c r="A331" s="34" t="s">
        <v>537</v>
      </c>
      <c r="B331" s="45" t="s">
        <v>1253</v>
      </c>
      <c r="C331" s="34" t="s">
        <v>833</v>
      </c>
      <c r="D331" s="39" t="s">
        <v>1254</v>
      </c>
      <c r="E331" s="34" t="s">
        <v>833</v>
      </c>
      <c r="F331" s="34"/>
      <c r="G331" s="34"/>
    </row>
    <row r="332" spans="1:7">
      <c r="A332" s="34" t="s">
        <v>537</v>
      </c>
      <c r="B332" s="34"/>
      <c r="C332" s="34"/>
      <c r="D332" s="39" t="s">
        <v>1255</v>
      </c>
      <c r="E332" s="34" t="s">
        <v>833</v>
      </c>
      <c r="F332" s="34"/>
      <c r="G332" s="34"/>
    </row>
    <row r="333" spans="1:7">
      <c r="A333" s="34" t="s">
        <v>537</v>
      </c>
      <c r="B333" s="34"/>
      <c r="C333" s="34"/>
      <c r="D333" s="39" t="s">
        <v>1256</v>
      </c>
      <c r="E333" s="34" t="s">
        <v>833</v>
      </c>
      <c r="F333" s="34"/>
      <c r="G333" s="34"/>
    </row>
    <row r="334" spans="1:7">
      <c r="A334" s="34" t="s">
        <v>537</v>
      </c>
      <c r="B334" s="34"/>
      <c r="C334" s="34"/>
      <c r="D334" s="39" t="s">
        <v>1257</v>
      </c>
      <c r="E334" s="34" t="s">
        <v>833</v>
      </c>
      <c r="F334" s="34"/>
      <c r="G334" s="34"/>
    </row>
    <row r="335" spans="1:7">
      <c r="A335" s="34" t="s">
        <v>537</v>
      </c>
      <c r="B335" s="34"/>
      <c r="C335" s="34"/>
      <c r="D335" s="39" t="s">
        <v>1258</v>
      </c>
      <c r="E335" s="34" t="s">
        <v>833</v>
      </c>
      <c r="F335" s="34"/>
      <c r="G335" s="34"/>
    </row>
    <row r="336" spans="1:7">
      <c r="A336" s="34" t="s">
        <v>537</v>
      </c>
      <c r="B336" s="34"/>
      <c r="C336" s="34"/>
      <c r="D336" s="39" t="s">
        <v>1259</v>
      </c>
      <c r="E336" s="34" t="s">
        <v>833</v>
      </c>
      <c r="F336" s="34"/>
      <c r="G336" s="34"/>
    </row>
    <row r="337" spans="1:7">
      <c r="A337" s="32" t="s">
        <v>410</v>
      </c>
      <c r="B337" s="37" t="s">
        <v>1260</v>
      </c>
      <c r="C337" s="32" t="s">
        <v>833</v>
      </c>
      <c r="D337" s="37" t="s">
        <v>1261</v>
      </c>
      <c r="E337" s="32" t="s">
        <v>833</v>
      </c>
      <c r="F337" s="43" t="s">
        <v>1262</v>
      </c>
      <c r="G337" s="32" t="s">
        <v>833</v>
      </c>
    </row>
    <row r="338" spans="1:7">
      <c r="A338" s="34" t="s">
        <v>410</v>
      </c>
      <c r="B338" s="38" t="s">
        <v>1263</v>
      </c>
      <c r="C338" s="34" t="s">
        <v>833</v>
      </c>
      <c r="D338" s="38" t="s">
        <v>1264</v>
      </c>
      <c r="E338" s="34" t="s">
        <v>833</v>
      </c>
      <c r="F338" s="41" t="s">
        <v>1265</v>
      </c>
      <c r="G338" s="34" t="s">
        <v>833</v>
      </c>
    </row>
    <row r="339" spans="1:7">
      <c r="A339" s="34" t="s">
        <v>410</v>
      </c>
      <c r="B339" s="38" t="s">
        <v>1266</v>
      </c>
      <c r="C339" s="34" t="s">
        <v>833</v>
      </c>
      <c r="D339" s="38" t="s">
        <v>1267</v>
      </c>
      <c r="E339" s="34" t="s">
        <v>833</v>
      </c>
      <c r="F339" s="41" t="s">
        <v>1268</v>
      </c>
      <c r="G339" s="34" t="s">
        <v>833</v>
      </c>
    </row>
    <row r="340" spans="1:7">
      <c r="A340" s="34" t="s">
        <v>410</v>
      </c>
      <c r="B340" s="34"/>
      <c r="C340" s="34"/>
      <c r="D340" s="39" t="s">
        <v>1269</v>
      </c>
      <c r="E340" s="34" t="s">
        <v>833</v>
      </c>
      <c r="F340" s="41" t="s">
        <v>1270</v>
      </c>
      <c r="G340" s="34" t="s">
        <v>833</v>
      </c>
    </row>
    <row r="341" spans="1:7">
      <c r="A341" s="34" t="s">
        <v>410</v>
      </c>
      <c r="B341" s="34"/>
      <c r="C341" s="34"/>
      <c r="D341" s="39" t="s">
        <v>1271</v>
      </c>
      <c r="E341" s="34" t="s">
        <v>833</v>
      </c>
      <c r="F341" s="41" t="s">
        <v>1272</v>
      </c>
      <c r="G341" s="34" t="s">
        <v>833</v>
      </c>
    </row>
    <row r="342" spans="1:7">
      <c r="A342" s="34" t="s">
        <v>410</v>
      </c>
      <c r="B342" s="34"/>
      <c r="C342" s="34"/>
      <c r="D342" s="39" t="s">
        <v>1273</v>
      </c>
      <c r="E342" s="34" t="s">
        <v>833</v>
      </c>
      <c r="F342" s="41" t="s">
        <v>1274</v>
      </c>
      <c r="G342" s="34" t="s">
        <v>833</v>
      </c>
    </row>
    <row r="343" spans="1:7">
      <c r="A343" s="34" t="s">
        <v>410</v>
      </c>
      <c r="B343" s="34"/>
      <c r="C343" s="34"/>
      <c r="D343" s="39" t="s">
        <v>1275</v>
      </c>
      <c r="E343" s="34" t="s">
        <v>833</v>
      </c>
      <c r="F343" s="41" t="s">
        <v>1276</v>
      </c>
      <c r="G343" s="34" t="s">
        <v>833</v>
      </c>
    </row>
    <row r="344" spans="1:7">
      <c r="A344" s="34" t="s">
        <v>410</v>
      </c>
      <c r="B344" s="34"/>
      <c r="C344" s="34"/>
      <c r="D344" s="39" t="s">
        <v>1277</v>
      </c>
      <c r="E344" s="34" t="s">
        <v>833</v>
      </c>
      <c r="F344" s="41" t="s">
        <v>1278</v>
      </c>
      <c r="G344" s="34" t="s">
        <v>833</v>
      </c>
    </row>
    <row r="345" spans="1:7">
      <c r="A345" s="34" t="s">
        <v>410</v>
      </c>
      <c r="B345" s="34"/>
      <c r="C345" s="34"/>
      <c r="D345" s="34"/>
      <c r="E345" s="34"/>
      <c r="F345" s="41" t="s">
        <v>1279</v>
      </c>
      <c r="G345" s="34" t="s">
        <v>833</v>
      </c>
    </row>
    <row r="346" spans="1:7">
      <c r="A346" s="34" t="s">
        <v>410</v>
      </c>
      <c r="B346" s="34"/>
      <c r="C346" s="34"/>
      <c r="D346" s="34"/>
      <c r="E346" s="34"/>
      <c r="F346" s="41" t="s">
        <v>1280</v>
      </c>
      <c r="G346" s="34" t="s">
        <v>833</v>
      </c>
    </row>
    <row r="347" spans="1:7">
      <c r="A347" s="34" t="s">
        <v>410</v>
      </c>
      <c r="B347" s="34"/>
      <c r="C347" s="34"/>
      <c r="D347" s="34"/>
      <c r="E347" s="34"/>
      <c r="F347" s="41" t="s">
        <v>1281</v>
      </c>
      <c r="G347" s="34" t="s">
        <v>833</v>
      </c>
    </row>
    <row r="348" spans="1:7">
      <c r="A348" s="34" t="s">
        <v>410</v>
      </c>
      <c r="B348" s="34"/>
      <c r="C348" s="34"/>
      <c r="D348" s="34"/>
      <c r="E348" s="34"/>
      <c r="F348" s="41" t="s">
        <v>1282</v>
      </c>
      <c r="G348" s="34" t="s">
        <v>833</v>
      </c>
    </row>
    <row r="349" spans="1:7">
      <c r="A349" s="34" t="s">
        <v>410</v>
      </c>
      <c r="B349" s="34"/>
      <c r="C349" s="34"/>
      <c r="D349" s="38" t="s">
        <v>1283</v>
      </c>
      <c r="E349" s="34" t="s">
        <v>837</v>
      </c>
      <c r="F349" s="34"/>
      <c r="G349" s="34"/>
    </row>
    <row r="350" spans="1:7">
      <c r="A350" s="34" t="s">
        <v>410</v>
      </c>
      <c r="B350" s="34"/>
      <c r="C350" s="34"/>
      <c r="D350" s="38" t="s">
        <v>940</v>
      </c>
      <c r="E350" s="34" t="s">
        <v>837</v>
      </c>
      <c r="F350" s="34"/>
      <c r="G350" s="34"/>
    </row>
  </sheetData>
  <mergeCells count="13">
    <mergeCell ref="A1:B1"/>
    <mergeCell ref="D1:E1"/>
    <mergeCell ref="A24:A26"/>
    <mergeCell ref="A27:A29"/>
    <mergeCell ref="A30:A32"/>
    <mergeCell ref="A33:A36"/>
    <mergeCell ref="A37:A39"/>
    <mergeCell ref="A40:A43"/>
    <mergeCell ref="A44:A46"/>
    <mergeCell ref="A47:A49"/>
    <mergeCell ref="A50:A52"/>
    <mergeCell ref="A53:A55"/>
    <mergeCell ref="A56:A5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Pop_ESS_Stratégie Vacc_Accéssib</vt:lpstr>
      <vt:lpstr>Parti_Com</vt:lpstr>
      <vt:lpstr>Chaine de froid </vt:lpstr>
      <vt:lpstr>Info générale sur les ZS</vt:lpstr>
      <vt:lpstr>Cartographie Interv_PTF</vt:lpstr>
      <vt:lpstr>Coordonnées des AT</vt:lpstr>
      <vt:lpstr>Population_Haut Risque</vt:lpstr>
      <vt:lpstr>STRATEGIES DE VACC</vt:lpstr>
      <vt:lpstr>Budget </vt:lpstr>
      <vt:lpstr>Tableaux Synthèse par ZS</vt:lpstr>
      <vt:lpstr>CV ajustée en 2025</vt:lpstr>
      <vt:lpstr>Sites de surveillance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WPS_1776363385</cp:lastModifiedBy>
  <dcterms:created xsi:type="dcterms:W3CDTF">2026-04-02T13:30:00Z</dcterms:created>
  <dcterms:modified xsi:type="dcterms:W3CDTF">2026-05-31T15:46:12Z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1C4188410BAD4A91B5D4A41E4BBAABC7_13</vt:lpwstr>
  </property>
  <property fmtid="{D5CDD505-2E9C-101B-9397-08002B2CF9AE}" pid="3" name="KSOProductBuildVer">
    <vt:lpwstr>1036-12.1.0.26880</vt:lpwstr>
  </property>
  <property fmtid="{D5CDD505-2E9C-101B-9397-08002B2CF9AE}" pid="4" name="CalculationRule">
    <vt:i4>0</vt:i4>
  </property>
</Properties>
</file>